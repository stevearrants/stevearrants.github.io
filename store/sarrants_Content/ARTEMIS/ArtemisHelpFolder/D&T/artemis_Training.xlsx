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J:\ArtemisHelpFolder\D&amp;T\"/>
    </mc:Choice>
  </mc:AlternateContent>
  <bookViews>
    <workbookView xWindow="0" yWindow="0" windowWidth="19200" windowHeight="12180" tabRatio="461" activeTab="1"/>
  </bookViews>
  <sheets>
    <sheet name="Input Data" sheetId="1" r:id="rId1"/>
    <sheet name="Training Estimates" sheetId="3" r:id="rId2"/>
    <sheet name="Notes" sheetId="2" r:id="rId3"/>
  </sheets>
  <definedNames>
    <definedName name="Enter_data_in_this_column">'Input Data'!$B$1</definedName>
    <definedName name="Note_that_the_calculations_on_this_page_are_based_upon_the_data_enter_into_the__Input_Data__spreadsheet">'Training Estimates'!$A$1</definedName>
  </definedNames>
  <calcPr calcId="152511"/>
</workbook>
</file>

<file path=xl/calcChain.xml><?xml version="1.0" encoding="utf-8"?>
<calcChain xmlns="http://schemas.openxmlformats.org/spreadsheetml/2006/main">
  <c r="C28" i="3" l="1"/>
  <c r="C29" i="3"/>
  <c r="C14" i="3"/>
  <c r="C12" i="3" s="1"/>
  <c r="C20" i="3"/>
  <c r="C16" i="3"/>
  <c r="C21" i="3" s="1"/>
  <c r="C22" i="3"/>
  <c r="C23" i="3"/>
  <c r="C27" i="3"/>
  <c r="C31" i="3"/>
  <c r="B14" i="3"/>
  <c r="C13" i="3"/>
  <c r="C5" i="3" l="1"/>
  <c r="C6" i="3"/>
  <c r="C10" i="3"/>
  <c r="C9" i="3"/>
  <c r="C24" i="3"/>
  <c r="C33" i="3" s="1"/>
  <c r="C7" i="3"/>
  <c r="C11" i="3"/>
  <c r="C4" i="3"/>
  <c r="C8" i="3"/>
</calcChain>
</file>

<file path=xl/sharedStrings.xml><?xml version="1.0" encoding="utf-8"?>
<sst xmlns="http://schemas.openxmlformats.org/spreadsheetml/2006/main" count="78" uniqueCount="72">
  <si>
    <t>If course is blended learning, then enter percentage of time instructors will be used. For example, if 1/2 the class is asynchronous elearning, then enter 0.5</t>
  </si>
  <si>
    <t>Grand Total</t>
  </si>
  <si>
    <t>hours</t>
  </si>
  <si>
    <t>based on salary of $60,000 per year</t>
  </si>
  <si>
    <t>based on salary of $80,000 per year</t>
  </si>
  <si>
    <t>Labor Cost</t>
  </si>
  <si>
    <t>Enter 1.2 for new designers, 1 for average skill sets, and 0.8 for designers with advanced skills</t>
  </si>
  <si>
    <t>Travel cost</t>
  </si>
  <si>
    <t>Travel costs</t>
  </si>
  <si>
    <t>Total</t>
  </si>
  <si>
    <t>Instructional Designer labor cost</t>
  </si>
  <si>
    <t>Instructor labor cost</t>
  </si>
  <si>
    <t>Learner's wages</t>
  </si>
  <si>
    <t>per hour</t>
  </si>
  <si>
    <t>Average pay of learner</t>
  </si>
  <si>
    <t>Difficulty Level to design course</t>
  </si>
  <si>
    <t>Enter 1 for little or no multimedia, 1.5 for some multimedia, and 2 if the course is composed mostly of multimedia</t>
  </si>
  <si>
    <t>Note: You might have to adjust the percentages to fit your organization, if so, ensure the percentage add up to 100%</t>
  </si>
  <si>
    <t>Enter average travel cost for a participant</t>
  </si>
  <si>
    <t>Note: Enter your own data in column B. In addition, you might have to adjust the numbers in column C to fit your own organization</t>
  </si>
  <si>
    <t>Number of Instructors per hour of training</t>
  </si>
  <si>
    <t>Note that the calculations on this page are based upon the data enter into the "Input Data" spreadsheet</t>
  </si>
  <si>
    <t>Equipment</t>
  </si>
  <si>
    <t xml:space="preserve">Outside vendor </t>
  </si>
  <si>
    <t>Consultant</t>
  </si>
  <si>
    <t>Video</t>
  </si>
  <si>
    <t>Misc Costs:</t>
  </si>
  <si>
    <t>per hour </t>
  </si>
  <si>
    <t>four to eight hours development time to produce 1/2 to 2 pages</t>
  </si>
  <si>
    <t> </t>
  </si>
  <si>
    <t>Conduct Course Content/Learning Analysis</t>
  </si>
  <si>
    <t>Develop Instructional Media Design Package</t>
  </si>
  <si>
    <t>Develop Prototype Lesson</t>
  </si>
  <si>
    <t>Develop Flowcharts</t>
  </si>
  <si>
    <t>Develop Script/Storyboards</t>
  </si>
  <si>
    <t>Produce/Acquire Media (Photos, audio, video)</t>
  </si>
  <si>
    <t>Author Course</t>
  </si>
  <si>
    <t>Other</t>
  </si>
  <si>
    <t>Misc (in dollars)</t>
  </si>
  <si>
    <t>Evaluate the Course (In-Process Reviews)</t>
  </si>
  <si>
    <t>Enter data in this column</t>
  </si>
  <si>
    <t>Needs Assessment</t>
  </si>
  <si>
    <t>Percentage of Time</t>
  </si>
  <si>
    <t>Hours</t>
  </si>
  <si>
    <t>Total Hours to create course</t>
  </si>
  <si>
    <t>Multimedia Level</t>
  </si>
  <si>
    <t>Experience Level of Designers</t>
  </si>
  <si>
    <t>Course Development</t>
  </si>
  <si>
    <t>Class Size</t>
  </si>
  <si>
    <t>Learners</t>
  </si>
  <si>
    <t>Total number of learners to be trained</t>
  </si>
  <si>
    <t>Instructor Prep Time</t>
  </si>
  <si>
    <t>Cost</t>
  </si>
  <si>
    <t>Prepare Project Plan</t>
  </si>
  <si>
    <t>Course is between five and ten days, then 2.5 hours of preparation for each hour of training.</t>
  </si>
  <si>
    <t>Course is over 10 days, then 2 hours of preparation for each hour of training.</t>
  </si>
  <si>
    <t>Instructor Preparation:</t>
  </si>
  <si>
    <t>per-finished-minutes (PFM) depending upon concept, locations, talent, special effects, etc. </t>
  </si>
  <si>
    <t>per slide</t>
  </si>
  <si>
    <t>per minute </t>
  </si>
  <si>
    <t>(Dugan Laird, in "Approaches to Training and Development," (1985) Based on U.S. Civil Service estimate):</t>
  </si>
  <si>
    <t xml:space="preserve">Produce a video </t>
  </si>
  <si>
    <t>Produce slides  </t>
  </si>
  <si>
    <t>Produce audio tape</t>
  </si>
  <si>
    <t>Student guide</t>
  </si>
  <si>
    <t xml:space="preserve">Instructional Designer </t>
  </si>
  <si>
    <t>Management or Organization Specialist</t>
  </si>
  <si>
    <t>Outside Consultant or Specialist</t>
  </si>
  <si>
    <t>Course is five days or less, then 3 hours of preparation for each hour of training.</t>
  </si>
  <si>
    <t>Results are are given in the "Training Estimates" worksheet</t>
  </si>
  <si>
    <t>Duration of course (hours)</t>
  </si>
  <si>
    <t xml:space="preserve">Enter 30 for average class, 40 for more advanced training classes, or 50 for highly technical training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</si>
</sst>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6" formatCode="#,##0.0"/>
  </numFmts>
  <fonts count="6" x14ac:knownFonts="1">
    <font>
      <sz val="10"/>
      <name val="Verdana"/>
    </font>
    <font>
      <b/>
      <sz val="10"/>
      <name val="Verdana"/>
    </font>
    <font>
      <u/>
      <sz val="10"/>
      <color indexed="12"/>
      <name val="Verdana"/>
    </font>
    <font>
      <b/>
      <sz val="14"/>
      <name val="Verdana"/>
    </font>
    <font>
      <b/>
      <sz val="12"/>
      <name val="Verdana"/>
    </font>
    <font>
      <b/>
      <u/>
      <sz val="12"/>
      <color indexed="12"/>
      <name val="Verdana"/>
    </font>
  </fonts>
  <fills count="3">
    <fill>
      <patternFill patternType="none"/>
    </fill>
    <fill>
      <patternFill patternType="gray125"/>
    </fill>
    <fill>
      <patternFill patternType="darkTrellis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right" wrapText="1"/>
    </xf>
    <xf numFmtId="3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66" fontId="0" fillId="0" borderId="0" xfId="0" applyNumberForma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1" applyAlignment="1" applyProtection="1"/>
    <xf numFmtId="0" fontId="2" fillId="0" borderId="0" xfId="1" applyAlignment="1" applyProtection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 applyProtection="1"/>
    <xf numFmtId="0" fontId="0" fillId="2" borderId="0" xfId="0" applyFill="1" applyAlignment="1">
      <alignment wrapText="1"/>
    </xf>
    <xf numFmtId="164" fontId="0" fillId="2" borderId="0" xfId="0" applyNumberFormat="1" applyFill="1" applyAlignment="1">
      <alignment wrapText="1"/>
    </xf>
    <xf numFmtId="0" fontId="0" fillId="2" borderId="0" xfId="0" applyFill="1"/>
    <xf numFmtId="0" fontId="1" fillId="2" borderId="0" xfId="0" applyFont="1" applyFill="1" applyAlignment="1">
      <alignment wrapText="1"/>
    </xf>
    <xf numFmtId="0" fontId="1" fillId="2" borderId="0" xfId="0" applyFont="1" applyFill="1"/>
    <xf numFmtId="164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9"/>
  <sheetViews>
    <sheetView workbookViewId="0">
      <selection activeCell="B6" sqref="B6"/>
    </sheetView>
  </sheetViews>
  <sheetFormatPr defaultColWidth="10.75" defaultRowHeight="12.75" x14ac:dyDescent="0.2"/>
  <cols>
    <col min="1" max="1" width="22.75" style="1" customWidth="1"/>
    <col min="2" max="2" width="10.75" style="1"/>
    <col min="3" max="3" width="48.75" style="1" customWidth="1"/>
    <col min="4" max="4" width="10.75" style="1"/>
    <col min="5" max="5" width="11.125" style="1" bestFit="1" customWidth="1"/>
    <col min="6" max="6" width="13" style="1" customWidth="1"/>
    <col min="7" max="16384" width="10.75" style="1"/>
  </cols>
  <sheetData>
    <row r="1" spans="1:6" ht="38.25" x14ac:dyDescent="0.2">
      <c r="A1" s="8" t="s">
        <v>47</v>
      </c>
      <c r="B1" s="8" t="s">
        <v>40</v>
      </c>
    </row>
    <row r="2" spans="1:6" ht="25.5" x14ac:dyDescent="0.2">
      <c r="A2" s="1" t="s">
        <v>70</v>
      </c>
      <c r="B2" s="1">
        <v>6.5</v>
      </c>
      <c r="C2" s="1" t="s">
        <v>43</v>
      </c>
    </row>
    <row r="3" spans="1:6" ht="25.5" x14ac:dyDescent="0.2">
      <c r="A3" s="1" t="s">
        <v>15</v>
      </c>
      <c r="B3" s="1">
        <v>30</v>
      </c>
      <c r="C3" s="1" t="s">
        <v>71</v>
      </c>
    </row>
    <row r="4" spans="1:6" ht="38.25" x14ac:dyDescent="0.2">
      <c r="A4" s="5" t="s">
        <v>45</v>
      </c>
      <c r="B4" s="1">
        <v>1.5</v>
      </c>
      <c r="C4" s="1" t="s">
        <v>16</v>
      </c>
    </row>
    <row r="5" spans="1:6" ht="25.5" x14ac:dyDescent="0.2">
      <c r="A5" s="1" t="s">
        <v>46</v>
      </c>
      <c r="B5" s="1">
        <v>0.9</v>
      </c>
      <c r="C5" s="1" t="s">
        <v>6</v>
      </c>
    </row>
    <row r="6" spans="1:6" ht="38.25" x14ac:dyDescent="0.2">
      <c r="A6" s="1" t="s">
        <v>20</v>
      </c>
      <c r="B6" s="1">
        <v>1</v>
      </c>
      <c r="C6" s="1" t="s">
        <v>0</v>
      </c>
    </row>
    <row r="8" spans="1:6" x14ac:dyDescent="0.2">
      <c r="A8" s="8" t="s">
        <v>49</v>
      </c>
    </row>
    <row r="9" spans="1:6" ht="25.5" x14ac:dyDescent="0.2">
      <c r="A9" s="1" t="s">
        <v>50</v>
      </c>
      <c r="B9" s="1">
        <v>20</v>
      </c>
    </row>
    <row r="10" spans="1:6" x14ac:dyDescent="0.2">
      <c r="A10" s="1" t="s">
        <v>48</v>
      </c>
      <c r="B10" s="1">
        <v>6</v>
      </c>
    </row>
    <row r="11" spans="1:6" x14ac:dyDescent="0.2">
      <c r="A11" s="16" t="s">
        <v>7</v>
      </c>
      <c r="B11" s="17">
        <v>1200</v>
      </c>
      <c r="C11" s="18" t="s">
        <v>18</v>
      </c>
      <c r="D11"/>
      <c r="E11"/>
      <c r="F11"/>
    </row>
    <row r="12" spans="1:6" x14ac:dyDescent="0.2">
      <c r="A12" s="16" t="s">
        <v>14</v>
      </c>
      <c r="B12" s="17">
        <v>23</v>
      </c>
      <c r="C12" s="18" t="s">
        <v>13</v>
      </c>
      <c r="D12"/>
      <c r="E12"/>
      <c r="F12"/>
    </row>
    <row r="13" spans="1:6" x14ac:dyDescent="0.2">
      <c r="A13" s="16"/>
      <c r="B13" s="16"/>
      <c r="C13" s="18"/>
      <c r="D13"/>
      <c r="E13"/>
      <c r="F13"/>
    </row>
    <row r="14" spans="1:6" x14ac:dyDescent="0.2">
      <c r="A14" s="19" t="s">
        <v>38</v>
      </c>
      <c r="B14" s="16"/>
      <c r="C14" s="18"/>
      <c r="D14"/>
      <c r="E14"/>
      <c r="F14"/>
    </row>
    <row r="15" spans="1:6" x14ac:dyDescent="0.2">
      <c r="A15" s="18" t="s">
        <v>22</v>
      </c>
      <c r="B15" s="17">
        <v>350</v>
      </c>
      <c r="C15" s="18"/>
      <c r="D15"/>
      <c r="E15"/>
      <c r="F15"/>
    </row>
    <row r="16" spans="1:6" x14ac:dyDescent="0.2">
      <c r="A16" s="18" t="s">
        <v>23</v>
      </c>
      <c r="B16" s="17">
        <v>0</v>
      </c>
      <c r="C16" s="18"/>
      <c r="D16"/>
      <c r="E16"/>
      <c r="F16"/>
    </row>
    <row r="17" spans="1:6" x14ac:dyDescent="0.2">
      <c r="A17" s="18" t="s">
        <v>24</v>
      </c>
      <c r="B17" s="17">
        <v>0</v>
      </c>
      <c r="C17" s="16"/>
      <c r="D17"/>
      <c r="E17"/>
      <c r="F17"/>
    </row>
    <row r="18" spans="1:6" x14ac:dyDescent="0.2">
      <c r="A18" s="18" t="s">
        <v>25</v>
      </c>
      <c r="B18" s="17">
        <v>600</v>
      </c>
      <c r="C18" s="18"/>
      <c r="D18"/>
      <c r="E18"/>
      <c r="F18"/>
    </row>
    <row r="19" spans="1:6" x14ac:dyDescent="0.2">
      <c r="A19" s="16" t="s">
        <v>37</v>
      </c>
      <c r="B19" s="17">
        <v>160</v>
      </c>
      <c r="C19" s="18"/>
      <c r="D19"/>
      <c r="E19"/>
      <c r="F19"/>
    </row>
    <row r="20" spans="1:6" x14ac:dyDescent="0.2">
      <c r="C20"/>
      <c r="D20"/>
      <c r="E20"/>
      <c r="F20"/>
    </row>
    <row r="21" spans="1:6" x14ac:dyDescent="0.2">
      <c r="C21"/>
      <c r="D21"/>
      <c r="E21"/>
      <c r="F21"/>
    </row>
    <row r="22" spans="1:6" ht="18" customHeight="1" x14ac:dyDescent="0.2">
      <c r="C22" s="15" t="s">
        <v>69</v>
      </c>
      <c r="D22"/>
      <c r="E22"/>
      <c r="F22"/>
    </row>
    <row r="24" spans="1:6" ht="90" x14ac:dyDescent="0.25">
      <c r="C24" s="13" t="s">
        <v>19</v>
      </c>
    </row>
    <row r="25" spans="1:6" x14ac:dyDescent="0.2">
      <c r="C25" s="1" t="s">
        <v>29</v>
      </c>
    </row>
    <row r="27" spans="1:6" x14ac:dyDescent="0.2">
      <c r="C27" s="12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9" x14ac:dyDescent="0.2">
      <c r="A97"/>
      <c r="B97"/>
      <c r="C97"/>
      <c r="D97"/>
      <c r="E97"/>
      <c r="F97"/>
      <c r="G97"/>
    </row>
    <row r="98" spans="1:9" x14ac:dyDescent="0.2">
      <c r="A98"/>
      <c r="B98"/>
      <c r="C98"/>
      <c r="D98"/>
      <c r="E98"/>
      <c r="F98"/>
      <c r="G98"/>
    </row>
    <row r="99" spans="1:9" x14ac:dyDescent="0.2">
      <c r="A99"/>
      <c r="B99"/>
      <c r="C99"/>
      <c r="D99"/>
      <c r="E99"/>
      <c r="F99"/>
      <c r="G99"/>
    </row>
    <row r="100" spans="1:9" x14ac:dyDescent="0.2">
      <c r="A100"/>
      <c r="B100"/>
      <c r="C100"/>
      <c r="D100"/>
      <c r="E100"/>
      <c r="F100"/>
      <c r="G100"/>
      <c r="I100" s="1" t="s">
        <v>52</v>
      </c>
    </row>
    <row r="101" spans="1:9" x14ac:dyDescent="0.2">
      <c r="A101"/>
      <c r="B101"/>
      <c r="C101"/>
      <c r="D101"/>
      <c r="E101"/>
      <c r="F101"/>
      <c r="G101"/>
    </row>
    <row r="102" spans="1:9" x14ac:dyDescent="0.2">
      <c r="A102"/>
      <c r="B102"/>
      <c r="C102"/>
      <c r="D102"/>
      <c r="E102"/>
      <c r="F102"/>
      <c r="G102"/>
    </row>
    <row r="103" spans="1:9" x14ac:dyDescent="0.2">
      <c r="A103"/>
      <c r="B103"/>
      <c r="C103"/>
      <c r="D103"/>
      <c r="E103"/>
      <c r="F103"/>
      <c r="G103"/>
    </row>
    <row r="104" spans="1:9" x14ac:dyDescent="0.2">
      <c r="A104"/>
      <c r="B104"/>
      <c r="C104"/>
      <c r="D104"/>
      <c r="E104"/>
      <c r="F104"/>
      <c r="G104"/>
    </row>
    <row r="105" spans="1:9" x14ac:dyDescent="0.2">
      <c r="A105"/>
      <c r="B105"/>
      <c r="C105"/>
      <c r="D105"/>
      <c r="E105"/>
      <c r="F105"/>
      <c r="G105"/>
    </row>
    <row r="106" spans="1:9" x14ac:dyDescent="0.2">
      <c r="A106"/>
      <c r="B106"/>
      <c r="C106"/>
      <c r="D106"/>
      <c r="E106"/>
      <c r="F106"/>
      <c r="G106"/>
    </row>
    <row r="107" spans="1:9" x14ac:dyDescent="0.2">
      <c r="A107"/>
      <c r="B107"/>
      <c r="C107"/>
      <c r="D107"/>
      <c r="E107"/>
      <c r="F107"/>
      <c r="G107"/>
    </row>
    <row r="108" spans="1:9" x14ac:dyDescent="0.2">
      <c r="A108"/>
      <c r="B108"/>
      <c r="C108"/>
      <c r="D108"/>
      <c r="E108"/>
      <c r="F108"/>
      <c r="G108"/>
    </row>
    <row r="109" spans="1:9" x14ac:dyDescent="0.2">
      <c r="A109"/>
      <c r="B109"/>
      <c r="C109"/>
      <c r="D109"/>
      <c r="E109"/>
      <c r="F109"/>
      <c r="G109"/>
    </row>
    <row r="110" spans="1:9" x14ac:dyDescent="0.2">
      <c r="A110"/>
      <c r="B110"/>
      <c r="C110"/>
      <c r="D110"/>
      <c r="E110"/>
      <c r="F110"/>
      <c r="G110"/>
    </row>
    <row r="111" spans="1:9" x14ac:dyDescent="0.2">
      <c r="A111"/>
      <c r="B111"/>
      <c r="C111"/>
      <c r="D111"/>
      <c r="E111"/>
      <c r="F111"/>
      <c r="G111"/>
    </row>
    <row r="112" spans="1:9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  <row r="203" spans="1:7" x14ac:dyDescent="0.2">
      <c r="A203"/>
      <c r="B203"/>
      <c r="C203"/>
      <c r="D203"/>
      <c r="E203"/>
      <c r="F203"/>
      <c r="G203"/>
    </row>
    <row r="204" spans="1:7" x14ac:dyDescent="0.2">
      <c r="A204"/>
      <c r="B204"/>
      <c r="C204"/>
      <c r="D204"/>
      <c r="E204"/>
      <c r="F204"/>
      <c r="G204"/>
    </row>
    <row r="205" spans="1:7" x14ac:dyDescent="0.2">
      <c r="A205"/>
      <c r="B205"/>
      <c r="C205"/>
      <c r="D205"/>
      <c r="E205"/>
      <c r="F205"/>
      <c r="G205"/>
    </row>
    <row r="206" spans="1:7" x14ac:dyDescent="0.2">
      <c r="A206"/>
      <c r="B206"/>
      <c r="C206"/>
      <c r="D206"/>
      <c r="E206"/>
      <c r="F206"/>
      <c r="G206"/>
    </row>
    <row r="207" spans="1:7" x14ac:dyDescent="0.2">
      <c r="A207"/>
      <c r="B207"/>
      <c r="C207"/>
      <c r="D207"/>
      <c r="E207"/>
      <c r="F207"/>
      <c r="G207"/>
    </row>
    <row r="208" spans="1:7" x14ac:dyDescent="0.2">
      <c r="A208"/>
      <c r="B208"/>
      <c r="C208"/>
      <c r="D208"/>
      <c r="E208"/>
      <c r="F208"/>
      <c r="G208"/>
    </row>
    <row r="209" spans="1:7" x14ac:dyDescent="0.2">
      <c r="A209"/>
      <c r="B209"/>
      <c r="C209"/>
      <c r="D209"/>
      <c r="E209"/>
      <c r="F209"/>
      <c r="G209"/>
    </row>
    <row r="210" spans="1:7" x14ac:dyDescent="0.2">
      <c r="A210"/>
      <c r="B210"/>
      <c r="C210"/>
      <c r="D210"/>
      <c r="E210"/>
      <c r="F210"/>
      <c r="G210"/>
    </row>
    <row r="211" spans="1:7" x14ac:dyDescent="0.2">
      <c r="A211"/>
      <c r="B211"/>
      <c r="C211"/>
      <c r="D211"/>
      <c r="E211"/>
      <c r="F211"/>
      <c r="G211"/>
    </row>
    <row r="212" spans="1:7" x14ac:dyDescent="0.2">
      <c r="A212"/>
      <c r="B212"/>
      <c r="C212"/>
      <c r="D212"/>
      <c r="E212"/>
      <c r="F212"/>
      <c r="G212"/>
    </row>
    <row r="213" spans="1:7" x14ac:dyDescent="0.2">
      <c r="A213"/>
      <c r="B213"/>
      <c r="C213"/>
      <c r="D213"/>
      <c r="E213"/>
      <c r="F213"/>
      <c r="G213"/>
    </row>
    <row r="214" spans="1:7" x14ac:dyDescent="0.2">
      <c r="A214"/>
      <c r="B214"/>
      <c r="C214"/>
      <c r="D214"/>
      <c r="E214"/>
      <c r="F214"/>
      <c r="G214"/>
    </row>
    <row r="215" spans="1:7" x14ac:dyDescent="0.2">
      <c r="A215"/>
      <c r="B215"/>
      <c r="C215"/>
      <c r="D215"/>
      <c r="E215"/>
      <c r="F215"/>
      <c r="G215"/>
    </row>
    <row r="216" spans="1:7" x14ac:dyDescent="0.2">
      <c r="A216"/>
      <c r="B216"/>
      <c r="C216"/>
      <c r="D216"/>
      <c r="E216"/>
      <c r="F216"/>
      <c r="G216"/>
    </row>
    <row r="217" spans="1:7" x14ac:dyDescent="0.2">
      <c r="A217"/>
      <c r="B217"/>
      <c r="C217"/>
      <c r="D217"/>
      <c r="E217"/>
      <c r="F217"/>
      <c r="G217"/>
    </row>
    <row r="218" spans="1:7" x14ac:dyDescent="0.2">
      <c r="A218"/>
      <c r="B218"/>
      <c r="C218"/>
      <c r="D218"/>
      <c r="E218"/>
      <c r="F218"/>
      <c r="G218"/>
    </row>
    <row r="219" spans="1:7" x14ac:dyDescent="0.2">
      <c r="A219"/>
      <c r="B219"/>
      <c r="C219"/>
      <c r="D219"/>
      <c r="E219"/>
      <c r="F219"/>
      <c r="G219"/>
    </row>
    <row r="220" spans="1:7" x14ac:dyDescent="0.2">
      <c r="A220"/>
      <c r="B220"/>
      <c r="C220"/>
      <c r="D220"/>
      <c r="E220"/>
      <c r="F220"/>
      <c r="G220"/>
    </row>
    <row r="221" spans="1:7" x14ac:dyDescent="0.2">
      <c r="A221"/>
      <c r="B221"/>
      <c r="C221"/>
      <c r="D221"/>
      <c r="E221"/>
      <c r="F221"/>
      <c r="G221"/>
    </row>
    <row r="222" spans="1:7" x14ac:dyDescent="0.2">
      <c r="A222"/>
      <c r="B222"/>
      <c r="C222"/>
      <c r="D222"/>
      <c r="E222"/>
      <c r="F222"/>
      <c r="G222"/>
    </row>
    <row r="223" spans="1:7" x14ac:dyDescent="0.2">
      <c r="A223"/>
      <c r="B223"/>
      <c r="C223"/>
      <c r="D223"/>
      <c r="E223"/>
      <c r="F223"/>
      <c r="G223"/>
    </row>
    <row r="224" spans="1:7" x14ac:dyDescent="0.2">
      <c r="A224"/>
      <c r="B224"/>
      <c r="C224"/>
      <c r="D224"/>
      <c r="E224"/>
      <c r="F224"/>
      <c r="G224"/>
    </row>
    <row r="225" spans="1:7" x14ac:dyDescent="0.2">
      <c r="A225"/>
      <c r="B225"/>
      <c r="C225"/>
      <c r="D225"/>
      <c r="E225"/>
      <c r="F225"/>
      <c r="G225"/>
    </row>
    <row r="226" spans="1:7" x14ac:dyDescent="0.2">
      <c r="A226"/>
      <c r="B226"/>
      <c r="C226"/>
      <c r="D226"/>
      <c r="E226"/>
      <c r="F226"/>
      <c r="G226"/>
    </row>
    <row r="227" spans="1:7" x14ac:dyDescent="0.2">
      <c r="A227"/>
      <c r="B227"/>
      <c r="C227"/>
      <c r="D227"/>
      <c r="E227"/>
      <c r="F227"/>
      <c r="G227"/>
    </row>
    <row r="228" spans="1:7" x14ac:dyDescent="0.2">
      <c r="A228"/>
      <c r="B228"/>
      <c r="C228"/>
      <c r="D228"/>
      <c r="E228"/>
      <c r="F228"/>
      <c r="G228"/>
    </row>
    <row r="229" spans="1:7" x14ac:dyDescent="0.2">
      <c r="A229"/>
      <c r="B229"/>
      <c r="C229"/>
      <c r="D229"/>
      <c r="E229"/>
      <c r="F229"/>
      <c r="G229"/>
    </row>
    <row r="230" spans="1:7" x14ac:dyDescent="0.2">
      <c r="A230"/>
      <c r="B230"/>
      <c r="C230"/>
      <c r="D230"/>
      <c r="E230"/>
      <c r="F230"/>
      <c r="G230"/>
    </row>
    <row r="231" spans="1:7" x14ac:dyDescent="0.2">
      <c r="A231"/>
      <c r="B231"/>
      <c r="C231"/>
      <c r="D231"/>
      <c r="E231"/>
      <c r="F231"/>
      <c r="G231"/>
    </row>
    <row r="232" spans="1:7" x14ac:dyDescent="0.2">
      <c r="A232"/>
      <c r="B232"/>
      <c r="C232"/>
      <c r="D232"/>
      <c r="E232"/>
      <c r="F232"/>
      <c r="G232"/>
    </row>
    <row r="233" spans="1:7" x14ac:dyDescent="0.2">
      <c r="A233"/>
      <c r="B233"/>
      <c r="C233"/>
      <c r="D233"/>
      <c r="E233"/>
      <c r="F233"/>
      <c r="G233"/>
    </row>
    <row r="234" spans="1:7" x14ac:dyDescent="0.2">
      <c r="A234"/>
      <c r="B234"/>
      <c r="C234"/>
      <c r="D234"/>
      <c r="E234"/>
      <c r="F234"/>
      <c r="G234"/>
    </row>
    <row r="235" spans="1:7" x14ac:dyDescent="0.2">
      <c r="A235"/>
      <c r="B235"/>
      <c r="C235"/>
      <c r="D235"/>
      <c r="E235"/>
      <c r="F235"/>
      <c r="G235"/>
    </row>
    <row r="236" spans="1:7" x14ac:dyDescent="0.2">
      <c r="A236"/>
      <c r="B236"/>
      <c r="C236"/>
      <c r="D236"/>
      <c r="E236"/>
      <c r="F236"/>
      <c r="G236"/>
    </row>
    <row r="237" spans="1:7" x14ac:dyDescent="0.2">
      <c r="A237"/>
      <c r="B237"/>
      <c r="C237"/>
      <c r="D237"/>
      <c r="E237"/>
      <c r="F237"/>
      <c r="G237"/>
    </row>
    <row r="238" spans="1:7" x14ac:dyDescent="0.2">
      <c r="A238"/>
      <c r="B238"/>
      <c r="C238"/>
      <c r="D238"/>
      <c r="E238"/>
      <c r="F238"/>
      <c r="G238"/>
    </row>
    <row r="239" spans="1:7" x14ac:dyDescent="0.2">
      <c r="A239"/>
      <c r="B239"/>
      <c r="C239"/>
      <c r="D239"/>
      <c r="E239"/>
      <c r="F239"/>
      <c r="G239"/>
    </row>
    <row r="240" spans="1:7" x14ac:dyDescent="0.2">
      <c r="A240"/>
      <c r="B240"/>
      <c r="C240"/>
      <c r="D240"/>
      <c r="E240"/>
      <c r="F240"/>
      <c r="G240"/>
    </row>
    <row r="241" spans="1:7" x14ac:dyDescent="0.2">
      <c r="A241"/>
      <c r="B241"/>
      <c r="C241"/>
      <c r="D241"/>
      <c r="E241"/>
      <c r="F241"/>
      <c r="G241"/>
    </row>
    <row r="242" spans="1:7" x14ac:dyDescent="0.2">
      <c r="A242"/>
      <c r="B242"/>
      <c r="C242"/>
      <c r="D242"/>
      <c r="E242"/>
      <c r="F242"/>
      <c r="G242"/>
    </row>
    <row r="243" spans="1:7" x14ac:dyDescent="0.2">
      <c r="A243"/>
      <c r="B243"/>
      <c r="C243"/>
      <c r="D243"/>
      <c r="E243"/>
      <c r="F243"/>
      <c r="G243"/>
    </row>
    <row r="244" spans="1:7" x14ac:dyDescent="0.2">
      <c r="A244"/>
      <c r="B244"/>
      <c r="C244"/>
      <c r="D244"/>
      <c r="E244"/>
      <c r="F244"/>
      <c r="G244"/>
    </row>
    <row r="245" spans="1:7" x14ac:dyDescent="0.2">
      <c r="A245"/>
      <c r="B245"/>
      <c r="C245"/>
      <c r="D245"/>
      <c r="E245"/>
      <c r="F245"/>
      <c r="G245"/>
    </row>
    <row r="246" spans="1:7" x14ac:dyDescent="0.2">
      <c r="A246"/>
      <c r="B246"/>
      <c r="C246"/>
      <c r="D246"/>
      <c r="E246"/>
      <c r="F246"/>
      <c r="G246"/>
    </row>
    <row r="247" spans="1:7" x14ac:dyDescent="0.2">
      <c r="A247"/>
      <c r="B247"/>
      <c r="C247"/>
      <c r="D247"/>
      <c r="E247"/>
      <c r="F247"/>
      <c r="G247"/>
    </row>
    <row r="248" spans="1:7" x14ac:dyDescent="0.2">
      <c r="A248"/>
      <c r="B248"/>
      <c r="C248"/>
      <c r="D248"/>
      <c r="E248"/>
      <c r="F248"/>
      <c r="G248"/>
    </row>
    <row r="249" spans="1:7" x14ac:dyDescent="0.2">
      <c r="A249"/>
      <c r="B249"/>
      <c r="C249"/>
      <c r="D249"/>
      <c r="E249"/>
      <c r="F249"/>
      <c r="G249"/>
    </row>
    <row r="250" spans="1:7" x14ac:dyDescent="0.2">
      <c r="A250"/>
      <c r="B250"/>
      <c r="C250"/>
      <c r="D250"/>
      <c r="E250"/>
      <c r="F250"/>
      <c r="G250"/>
    </row>
    <row r="251" spans="1:7" x14ac:dyDescent="0.2">
      <c r="A251"/>
      <c r="B251"/>
      <c r="C251"/>
      <c r="D251"/>
      <c r="E251"/>
      <c r="F251"/>
      <c r="G251"/>
    </row>
    <row r="252" spans="1:7" x14ac:dyDescent="0.2">
      <c r="A252"/>
      <c r="B252"/>
      <c r="C252"/>
      <c r="D252"/>
      <c r="E252"/>
      <c r="F252"/>
      <c r="G252"/>
    </row>
    <row r="253" spans="1:7" x14ac:dyDescent="0.2">
      <c r="A253"/>
      <c r="B253"/>
      <c r="C253"/>
      <c r="D253"/>
      <c r="E253"/>
      <c r="F253"/>
      <c r="G253"/>
    </row>
    <row r="254" spans="1:7" x14ac:dyDescent="0.2">
      <c r="A254"/>
      <c r="B254"/>
      <c r="C254"/>
      <c r="D254"/>
      <c r="E254"/>
      <c r="F254"/>
      <c r="G254"/>
    </row>
    <row r="255" spans="1:7" x14ac:dyDescent="0.2">
      <c r="A255"/>
      <c r="B255"/>
      <c r="C255"/>
      <c r="D255"/>
      <c r="E255"/>
      <c r="F255"/>
      <c r="G255"/>
    </row>
    <row r="256" spans="1:7" x14ac:dyDescent="0.2">
      <c r="A256"/>
      <c r="B256"/>
      <c r="C256"/>
      <c r="D256"/>
      <c r="E256"/>
      <c r="F256"/>
      <c r="G256"/>
    </row>
    <row r="257" spans="1:7" x14ac:dyDescent="0.2">
      <c r="A257"/>
      <c r="B257"/>
      <c r="C257"/>
      <c r="D257"/>
      <c r="E257"/>
      <c r="F257"/>
      <c r="G257"/>
    </row>
    <row r="258" spans="1:7" x14ac:dyDescent="0.2">
      <c r="A258"/>
      <c r="B258"/>
      <c r="C258"/>
      <c r="D258"/>
      <c r="E258"/>
      <c r="F258"/>
      <c r="G258"/>
    </row>
    <row r="259" spans="1:7" x14ac:dyDescent="0.2">
      <c r="A259"/>
      <c r="B259"/>
      <c r="C259"/>
      <c r="D259"/>
      <c r="E259"/>
      <c r="F259"/>
      <c r="G259"/>
    </row>
    <row r="260" spans="1:7" x14ac:dyDescent="0.2">
      <c r="A260"/>
      <c r="B260"/>
      <c r="C260"/>
      <c r="D260"/>
      <c r="E260"/>
      <c r="F260"/>
      <c r="G260"/>
    </row>
    <row r="261" spans="1:7" x14ac:dyDescent="0.2">
      <c r="A261"/>
      <c r="B261"/>
      <c r="C261"/>
      <c r="D261"/>
      <c r="E261"/>
      <c r="F261"/>
      <c r="G261"/>
    </row>
    <row r="262" spans="1:7" x14ac:dyDescent="0.2">
      <c r="A262"/>
      <c r="B262"/>
      <c r="C262"/>
      <c r="D262"/>
      <c r="E262"/>
      <c r="F262"/>
      <c r="G262"/>
    </row>
    <row r="263" spans="1:7" x14ac:dyDescent="0.2">
      <c r="A263"/>
      <c r="B263"/>
      <c r="C263"/>
      <c r="D263"/>
      <c r="E263"/>
      <c r="F263"/>
      <c r="G263"/>
    </row>
    <row r="264" spans="1:7" x14ac:dyDescent="0.2">
      <c r="A264"/>
      <c r="B264"/>
      <c r="C264"/>
      <c r="D264"/>
      <c r="E264"/>
      <c r="F264"/>
      <c r="G264"/>
    </row>
    <row r="265" spans="1:7" x14ac:dyDescent="0.2">
      <c r="A265"/>
      <c r="B265"/>
      <c r="C265"/>
      <c r="D265"/>
      <c r="E265"/>
      <c r="F265"/>
      <c r="G265"/>
    </row>
    <row r="266" spans="1:7" x14ac:dyDescent="0.2">
      <c r="A266"/>
      <c r="B266"/>
      <c r="C266"/>
      <c r="D266"/>
      <c r="E266"/>
      <c r="F266"/>
      <c r="G266"/>
    </row>
    <row r="267" spans="1:7" x14ac:dyDescent="0.2">
      <c r="A267"/>
      <c r="B267"/>
      <c r="C267"/>
      <c r="D267"/>
      <c r="E267"/>
      <c r="F267"/>
      <c r="G267"/>
    </row>
    <row r="268" spans="1:7" x14ac:dyDescent="0.2">
      <c r="A268"/>
      <c r="B268"/>
      <c r="C268"/>
      <c r="D268"/>
      <c r="E268"/>
      <c r="F268"/>
      <c r="G268"/>
    </row>
    <row r="269" spans="1:7" x14ac:dyDescent="0.2">
      <c r="A269"/>
      <c r="B269"/>
      <c r="C269"/>
      <c r="D269"/>
      <c r="E269"/>
      <c r="F269"/>
      <c r="G269"/>
    </row>
    <row r="270" spans="1:7" x14ac:dyDescent="0.2">
      <c r="A270"/>
      <c r="B270"/>
      <c r="C270"/>
      <c r="D270"/>
      <c r="E270"/>
      <c r="F270"/>
      <c r="G270"/>
    </row>
    <row r="271" spans="1:7" x14ac:dyDescent="0.2">
      <c r="A271"/>
      <c r="B271"/>
      <c r="C271"/>
      <c r="D271"/>
      <c r="E271"/>
      <c r="F271"/>
      <c r="G271"/>
    </row>
    <row r="272" spans="1:7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/>
      <c r="B311"/>
      <c r="C311"/>
      <c r="D311"/>
      <c r="E311"/>
      <c r="F311"/>
      <c r="G311"/>
    </row>
    <row r="312" spans="1:7" x14ac:dyDescent="0.2">
      <c r="A312"/>
      <c r="B312"/>
      <c r="C312"/>
      <c r="D312"/>
      <c r="E312"/>
      <c r="F312"/>
      <c r="G312"/>
    </row>
    <row r="313" spans="1:7" x14ac:dyDescent="0.2">
      <c r="A313"/>
      <c r="B313"/>
      <c r="C313"/>
      <c r="D313"/>
      <c r="E313"/>
      <c r="F313"/>
      <c r="G313"/>
    </row>
    <row r="314" spans="1:7" x14ac:dyDescent="0.2">
      <c r="A314"/>
      <c r="B314"/>
      <c r="C314"/>
      <c r="D314"/>
      <c r="E314"/>
      <c r="F314"/>
      <c r="G314"/>
    </row>
    <row r="315" spans="1:7" x14ac:dyDescent="0.2">
      <c r="A315"/>
      <c r="B315"/>
      <c r="C315"/>
      <c r="D315"/>
      <c r="E315"/>
      <c r="F315"/>
      <c r="G315"/>
    </row>
    <row r="316" spans="1:7" x14ac:dyDescent="0.2">
      <c r="A316"/>
      <c r="B316"/>
      <c r="C316"/>
      <c r="D316"/>
      <c r="E316"/>
      <c r="F316"/>
      <c r="G316"/>
    </row>
    <row r="317" spans="1:7" x14ac:dyDescent="0.2">
      <c r="A317"/>
      <c r="B317"/>
      <c r="C317"/>
      <c r="D317"/>
      <c r="E317"/>
      <c r="F317"/>
      <c r="G317"/>
    </row>
    <row r="318" spans="1:7" x14ac:dyDescent="0.2">
      <c r="A318"/>
      <c r="B318"/>
      <c r="C318"/>
      <c r="D318"/>
      <c r="E318"/>
      <c r="F318"/>
      <c r="G318"/>
    </row>
    <row r="319" spans="1:7" x14ac:dyDescent="0.2">
      <c r="A319"/>
      <c r="B319"/>
      <c r="C319"/>
      <c r="D319"/>
      <c r="E319"/>
      <c r="F319"/>
      <c r="G319"/>
    </row>
    <row r="320" spans="1:7" x14ac:dyDescent="0.2">
      <c r="A320"/>
      <c r="B320"/>
      <c r="C320"/>
      <c r="D320"/>
      <c r="E320"/>
      <c r="F320"/>
      <c r="G320"/>
    </row>
    <row r="321" spans="1:7" x14ac:dyDescent="0.2">
      <c r="A321"/>
      <c r="B321"/>
      <c r="C321"/>
      <c r="D321"/>
      <c r="E321"/>
      <c r="F321"/>
      <c r="G321"/>
    </row>
    <row r="322" spans="1:7" x14ac:dyDescent="0.2">
      <c r="A322"/>
      <c r="B322"/>
      <c r="C322"/>
      <c r="D322"/>
      <c r="E322"/>
      <c r="F322"/>
      <c r="G322"/>
    </row>
    <row r="323" spans="1:7" x14ac:dyDescent="0.2">
      <c r="A323"/>
      <c r="B323"/>
      <c r="C323"/>
      <c r="D323"/>
      <c r="E323"/>
      <c r="F323"/>
      <c r="G323"/>
    </row>
    <row r="324" spans="1:7" x14ac:dyDescent="0.2">
      <c r="A324"/>
      <c r="B324"/>
      <c r="C324"/>
      <c r="D324"/>
      <c r="E324"/>
      <c r="F324"/>
      <c r="G324"/>
    </row>
    <row r="325" spans="1:7" x14ac:dyDescent="0.2">
      <c r="A325"/>
      <c r="B325"/>
      <c r="C325"/>
      <c r="D325"/>
      <c r="E325"/>
      <c r="F325"/>
      <c r="G325"/>
    </row>
    <row r="326" spans="1:7" x14ac:dyDescent="0.2">
      <c r="A326"/>
      <c r="B326"/>
      <c r="C326"/>
      <c r="D326"/>
      <c r="E326"/>
      <c r="F326"/>
      <c r="G326"/>
    </row>
    <row r="327" spans="1:7" x14ac:dyDescent="0.2">
      <c r="A327"/>
      <c r="B327"/>
      <c r="C327"/>
      <c r="D327"/>
      <c r="E327"/>
      <c r="F327"/>
      <c r="G327"/>
    </row>
    <row r="328" spans="1:7" x14ac:dyDescent="0.2">
      <c r="A328"/>
      <c r="B328"/>
      <c r="C328"/>
      <c r="D328"/>
      <c r="E328"/>
      <c r="F328"/>
      <c r="G328"/>
    </row>
    <row r="329" spans="1:7" x14ac:dyDescent="0.2">
      <c r="A329"/>
      <c r="B329"/>
      <c r="C329"/>
      <c r="D329"/>
      <c r="E329"/>
      <c r="F329"/>
      <c r="G329"/>
    </row>
    <row r="330" spans="1:7" x14ac:dyDescent="0.2">
      <c r="A330"/>
      <c r="B330"/>
      <c r="C330"/>
      <c r="D330"/>
      <c r="E330"/>
      <c r="F330"/>
      <c r="G330"/>
    </row>
    <row r="331" spans="1:7" x14ac:dyDescent="0.2">
      <c r="A331"/>
      <c r="B331"/>
      <c r="C331"/>
      <c r="D331"/>
      <c r="E331"/>
      <c r="F331"/>
      <c r="G331"/>
    </row>
    <row r="332" spans="1:7" x14ac:dyDescent="0.2">
      <c r="A332"/>
      <c r="B332"/>
      <c r="C332"/>
      <c r="D332"/>
      <c r="E332"/>
      <c r="F332"/>
      <c r="G332"/>
    </row>
    <row r="333" spans="1:7" x14ac:dyDescent="0.2">
      <c r="A333"/>
      <c r="B333"/>
      <c r="C333"/>
      <c r="D333"/>
      <c r="E333"/>
      <c r="F333"/>
      <c r="G333"/>
    </row>
    <row r="334" spans="1:7" x14ac:dyDescent="0.2">
      <c r="A334"/>
      <c r="B334"/>
      <c r="C334"/>
      <c r="D334"/>
      <c r="E334"/>
      <c r="F334"/>
      <c r="G334"/>
    </row>
    <row r="335" spans="1:7" x14ac:dyDescent="0.2">
      <c r="A335"/>
      <c r="B335"/>
      <c r="C335"/>
      <c r="D335"/>
      <c r="E335"/>
      <c r="F335"/>
      <c r="G335"/>
    </row>
    <row r="336" spans="1:7" x14ac:dyDescent="0.2">
      <c r="A336"/>
      <c r="B336"/>
      <c r="C336"/>
      <c r="D336"/>
      <c r="E336"/>
      <c r="F336"/>
      <c r="G336"/>
    </row>
    <row r="337" spans="1:7" x14ac:dyDescent="0.2">
      <c r="A337"/>
      <c r="B337"/>
      <c r="C337"/>
      <c r="D337"/>
      <c r="E337"/>
      <c r="F337"/>
      <c r="G337"/>
    </row>
    <row r="338" spans="1:7" x14ac:dyDescent="0.2">
      <c r="A338"/>
      <c r="B338"/>
      <c r="C338"/>
      <c r="D338"/>
      <c r="E338"/>
      <c r="F338"/>
      <c r="G338"/>
    </row>
    <row r="339" spans="1:7" x14ac:dyDescent="0.2">
      <c r="A339"/>
      <c r="B339"/>
      <c r="C339"/>
      <c r="D339"/>
      <c r="E339"/>
      <c r="F339"/>
      <c r="G339"/>
    </row>
    <row r="340" spans="1:7" x14ac:dyDescent="0.2">
      <c r="A340"/>
      <c r="B340"/>
      <c r="C340"/>
      <c r="D340"/>
      <c r="E340"/>
      <c r="F340"/>
      <c r="G340"/>
    </row>
    <row r="341" spans="1:7" x14ac:dyDescent="0.2">
      <c r="A341"/>
      <c r="B341"/>
      <c r="C341"/>
      <c r="D341"/>
      <c r="E341"/>
      <c r="F341"/>
      <c r="G341"/>
    </row>
    <row r="342" spans="1:7" x14ac:dyDescent="0.2">
      <c r="A342"/>
      <c r="B342"/>
      <c r="C342"/>
      <c r="D342"/>
      <c r="E342"/>
      <c r="F342"/>
      <c r="G342"/>
    </row>
    <row r="343" spans="1:7" x14ac:dyDescent="0.2">
      <c r="A343"/>
      <c r="B343"/>
      <c r="C343"/>
      <c r="D343"/>
      <c r="E343"/>
      <c r="F343"/>
      <c r="G343"/>
    </row>
    <row r="344" spans="1:7" x14ac:dyDescent="0.2">
      <c r="A344"/>
      <c r="B344"/>
      <c r="C344"/>
      <c r="D344"/>
      <c r="E344"/>
      <c r="F344"/>
      <c r="G344"/>
    </row>
    <row r="345" spans="1:7" x14ac:dyDescent="0.2">
      <c r="A345"/>
      <c r="B345"/>
      <c r="C345"/>
      <c r="D345"/>
      <c r="E345"/>
      <c r="F345"/>
      <c r="G345"/>
    </row>
    <row r="346" spans="1:7" x14ac:dyDescent="0.2">
      <c r="A346"/>
      <c r="B346"/>
      <c r="C346"/>
      <c r="D346"/>
      <c r="E346"/>
      <c r="F346"/>
      <c r="G346"/>
    </row>
    <row r="347" spans="1:7" x14ac:dyDescent="0.2">
      <c r="A347"/>
      <c r="B347"/>
      <c r="C347"/>
      <c r="D347"/>
      <c r="E347"/>
      <c r="F347"/>
      <c r="G347"/>
    </row>
    <row r="348" spans="1:7" x14ac:dyDescent="0.2">
      <c r="A348"/>
      <c r="B348"/>
      <c r="C348"/>
      <c r="D348"/>
      <c r="E348"/>
      <c r="F348"/>
      <c r="G348"/>
    </row>
    <row r="349" spans="1:7" x14ac:dyDescent="0.2">
      <c r="A349"/>
      <c r="B349"/>
      <c r="C349"/>
      <c r="D349"/>
      <c r="E349"/>
      <c r="F349"/>
      <c r="G349"/>
    </row>
    <row r="350" spans="1:7" x14ac:dyDescent="0.2">
      <c r="A350"/>
      <c r="B350"/>
      <c r="C350"/>
      <c r="D350"/>
      <c r="E350"/>
      <c r="F350"/>
      <c r="G350"/>
    </row>
    <row r="351" spans="1:7" x14ac:dyDescent="0.2">
      <c r="A351"/>
      <c r="B351"/>
      <c r="C351"/>
      <c r="D351"/>
      <c r="E351"/>
      <c r="F351"/>
      <c r="G351"/>
    </row>
    <row r="352" spans="1:7" x14ac:dyDescent="0.2">
      <c r="A352"/>
      <c r="B352"/>
      <c r="C352"/>
      <c r="D352"/>
      <c r="E352"/>
      <c r="F352"/>
      <c r="G352"/>
    </row>
    <row r="353" spans="1:7" x14ac:dyDescent="0.2">
      <c r="A353"/>
      <c r="B353"/>
      <c r="C353"/>
      <c r="D353"/>
      <c r="E353"/>
      <c r="F353"/>
      <c r="G353"/>
    </row>
    <row r="354" spans="1:7" x14ac:dyDescent="0.2">
      <c r="A354"/>
      <c r="B354"/>
      <c r="C354"/>
      <c r="D354"/>
      <c r="E354"/>
      <c r="F354"/>
      <c r="G354"/>
    </row>
    <row r="355" spans="1:7" x14ac:dyDescent="0.2">
      <c r="A355"/>
      <c r="B355"/>
      <c r="C355"/>
      <c r="D355"/>
      <c r="E355"/>
      <c r="F355"/>
      <c r="G355"/>
    </row>
    <row r="356" spans="1:7" x14ac:dyDescent="0.2">
      <c r="A356"/>
      <c r="B356"/>
      <c r="C356"/>
      <c r="D356"/>
      <c r="E356"/>
      <c r="F356"/>
      <c r="G356"/>
    </row>
    <row r="357" spans="1:7" x14ac:dyDescent="0.2">
      <c r="A357"/>
      <c r="B357"/>
      <c r="C357"/>
      <c r="D357"/>
      <c r="E357"/>
      <c r="F357"/>
      <c r="G357"/>
    </row>
    <row r="358" spans="1:7" x14ac:dyDescent="0.2">
      <c r="A358"/>
      <c r="B358"/>
      <c r="C358"/>
      <c r="D358"/>
      <c r="E358"/>
      <c r="F358"/>
      <c r="G358"/>
    </row>
    <row r="359" spans="1:7" x14ac:dyDescent="0.2">
      <c r="A359"/>
      <c r="B359"/>
      <c r="C359"/>
      <c r="D359"/>
      <c r="E359"/>
      <c r="F359"/>
      <c r="G359"/>
    </row>
    <row r="360" spans="1:7" x14ac:dyDescent="0.2">
      <c r="A360"/>
      <c r="B360"/>
      <c r="C360"/>
      <c r="D360"/>
      <c r="E360"/>
      <c r="F360"/>
      <c r="G360"/>
    </row>
    <row r="361" spans="1:7" x14ac:dyDescent="0.2">
      <c r="A361"/>
      <c r="B361"/>
      <c r="C361"/>
      <c r="D361"/>
      <c r="E361"/>
      <c r="F361"/>
      <c r="G361"/>
    </row>
    <row r="362" spans="1:7" x14ac:dyDescent="0.2">
      <c r="A362"/>
      <c r="B362"/>
      <c r="C362"/>
      <c r="D362"/>
      <c r="E362"/>
      <c r="F362"/>
      <c r="G362"/>
    </row>
    <row r="363" spans="1:7" x14ac:dyDescent="0.2">
      <c r="A363"/>
      <c r="B363"/>
      <c r="C363"/>
      <c r="D363"/>
      <c r="E363"/>
      <c r="F363"/>
      <c r="G363"/>
    </row>
    <row r="364" spans="1:7" x14ac:dyDescent="0.2">
      <c r="A364"/>
      <c r="B364"/>
      <c r="C364"/>
      <c r="D364"/>
      <c r="E364"/>
      <c r="F364"/>
      <c r="G364"/>
    </row>
    <row r="365" spans="1:7" x14ac:dyDescent="0.2">
      <c r="A365"/>
      <c r="B365"/>
      <c r="C365"/>
      <c r="D365"/>
      <c r="E365"/>
      <c r="F365"/>
      <c r="G365"/>
    </row>
    <row r="366" spans="1:7" x14ac:dyDescent="0.2">
      <c r="A366"/>
      <c r="B366"/>
      <c r="C366"/>
      <c r="D366"/>
      <c r="E366"/>
      <c r="F366"/>
      <c r="G366"/>
    </row>
    <row r="367" spans="1:7" x14ac:dyDescent="0.2">
      <c r="A367"/>
      <c r="B367"/>
      <c r="C367"/>
      <c r="D367"/>
      <c r="E367"/>
      <c r="F367"/>
      <c r="G367"/>
    </row>
    <row r="368" spans="1:7" x14ac:dyDescent="0.2">
      <c r="A368"/>
      <c r="B368"/>
      <c r="C368"/>
      <c r="D368"/>
      <c r="E368"/>
      <c r="F368"/>
      <c r="G368"/>
    </row>
    <row r="369" spans="1:7" x14ac:dyDescent="0.2">
      <c r="A369"/>
      <c r="B369"/>
      <c r="C369"/>
      <c r="D369"/>
      <c r="E369"/>
      <c r="F369"/>
      <c r="G369"/>
    </row>
    <row r="370" spans="1:7" x14ac:dyDescent="0.2">
      <c r="A370"/>
      <c r="B370"/>
      <c r="C370"/>
      <c r="D370"/>
      <c r="E370"/>
      <c r="F370"/>
      <c r="G370"/>
    </row>
    <row r="371" spans="1:7" x14ac:dyDescent="0.2">
      <c r="A371"/>
      <c r="B371"/>
      <c r="C371"/>
      <c r="D371"/>
      <c r="E371"/>
      <c r="F371"/>
      <c r="G371"/>
    </row>
    <row r="372" spans="1:7" x14ac:dyDescent="0.2">
      <c r="A372"/>
      <c r="B372"/>
      <c r="C372"/>
      <c r="D372"/>
      <c r="E372"/>
      <c r="F372"/>
      <c r="G372"/>
    </row>
    <row r="373" spans="1:7" x14ac:dyDescent="0.2">
      <c r="A373"/>
      <c r="B373"/>
      <c r="C373"/>
      <c r="D373"/>
      <c r="E373"/>
      <c r="F373"/>
      <c r="G373"/>
    </row>
    <row r="374" spans="1:7" x14ac:dyDescent="0.2">
      <c r="A374"/>
      <c r="B374"/>
      <c r="C374"/>
      <c r="D374"/>
      <c r="E374"/>
      <c r="F374"/>
      <c r="G374"/>
    </row>
    <row r="375" spans="1:7" x14ac:dyDescent="0.2">
      <c r="A375"/>
      <c r="B375"/>
      <c r="C375"/>
      <c r="D375"/>
      <c r="E375"/>
      <c r="F375"/>
      <c r="G375"/>
    </row>
    <row r="376" spans="1:7" x14ac:dyDescent="0.2">
      <c r="A376"/>
      <c r="B376"/>
      <c r="C376"/>
      <c r="D376"/>
      <c r="E376"/>
      <c r="F376"/>
      <c r="G376"/>
    </row>
    <row r="377" spans="1:7" x14ac:dyDescent="0.2">
      <c r="A377"/>
      <c r="B377"/>
      <c r="C377"/>
      <c r="D377"/>
      <c r="E377"/>
      <c r="F377"/>
      <c r="G377"/>
    </row>
    <row r="378" spans="1:7" x14ac:dyDescent="0.2">
      <c r="A378"/>
      <c r="B378"/>
      <c r="C378"/>
      <c r="D378"/>
      <c r="E378"/>
      <c r="F378"/>
      <c r="G378"/>
    </row>
    <row r="379" spans="1:7" x14ac:dyDescent="0.2">
      <c r="A379"/>
      <c r="B379"/>
      <c r="C379"/>
      <c r="D379"/>
      <c r="E379"/>
      <c r="F379"/>
      <c r="G379"/>
    </row>
    <row r="380" spans="1:7" x14ac:dyDescent="0.2">
      <c r="A380"/>
      <c r="B380"/>
      <c r="C380"/>
      <c r="D380"/>
      <c r="E380"/>
      <c r="F380"/>
      <c r="G380"/>
    </row>
    <row r="381" spans="1:7" x14ac:dyDescent="0.2">
      <c r="A381"/>
      <c r="B381"/>
      <c r="C381"/>
      <c r="D381"/>
      <c r="E381"/>
      <c r="F381"/>
      <c r="G381"/>
    </row>
    <row r="382" spans="1:7" x14ac:dyDescent="0.2">
      <c r="A382"/>
      <c r="B382"/>
      <c r="C382"/>
      <c r="D382"/>
      <c r="E382"/>
      <c r="F382"/>
      <c r="G382"/>
    </row>
    <row r="383" spans="1:7" x14ac:dyDescent="0.2">
      <c r="A383"/>
      <c r="B383"/>
      <c r="C383"/>
      <c r="D383"/>
      <c r="E383"/>
      <c r="F383"/>
      <c r="G383"/>
    </row>
    <row r="384" spans="1:7" x14ac:dyDescent="0.2">
      <c r="A384"/>
      <c r="B384"/>
      <c r="C384"/>
      <c r="D384"/>
      <c r="E384"/>
      <c r="F384"/>
      <c r="G384"/>
    </row>
    <row r="385" spans="1:7" x14ac:dyDescent="0.2">
      <c r="A385"/>
      <c r="B385"/>
      <c r="C385"/>
      <c r="D385"/>
      <c r="E385"/>
      <c r="F385"/>
      <c r="G385"/>
    </row>
    <row r="386" spans="1:7" x14ac:dyDescent="0.2">
      <c r="A386"/>
      <c r="B386"/>
      <c r="C386"/>
      <c r="D386"/>
      <c r="E386"/>
      <c r="F386"/>
      <c r="G386"/>
    </row>
    <row r="387" spans="1:7" x14ac:dyDescent="0.2">
      <c r="A387"/>
      <c r="B387"/>
      <c r="C387"/>
      <c r="D387"/>
      <c r="E387"/>
      <c r="F387"/>
      <c r="G387"/>
    </row>
    <row r="388" spans="1:7" x14ac:dyDescent="0.2">
      <c r="A388"/>
      <c r="B388"/>
      <c r="C388"/>
      <c r="D388"/>
      <c r="E388"/>
      <c r="F388"/>
      <c r="G388"/>
    </row>
    <row r="389" spans="1:7" x14ac:dyDescent="0.2">
      <c r="A389"/>
      <c r="B389"/>
      <c r="C389"/>
      <c r="D389"/>
      <c r="E389"/>
      <c r="F389"/>
      <c r="G389"/>
    </row>
  </sheetData>
  <hyperlinks>
    <hyperlink ref="C22" location="Note_that_the_calculations_on_this_page_are_based_upon_the_data_enter_into_the__Input_Data__spreadsheet" display="Results are are given in the &quot;Training Estimates&quot; worksheet"/>
  </hyperlinks>
  <pageMargins left="0.75" right="0.75" top="1" bottom="1" header="0.5" footer="0.5"/>
  <pageSetup paperSize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E14" sqref="E14"/>
    </sheetView>
  </sheetViews>
  <sheetFormatPr defaultColWidth="11" defaultRowHeight="12.75" x14ac:dyDescent="0.2"/>
  <cols>
    <col min="1" max="1" width="34.375" customWidth="1"/>
    <col min="5" max="5" width="36" customWidth="1"/>
    <col min="6" max="6" width="11.75" customWidth="1"/>
  </cols>
  <sheetData>
    <row r="1" spans="1:4" x14ac:dyDescent="0.2">
      <c r="A1" s="11" t="s">
        <v>21</v>
      </c>
    </row>
    <row r="3" spans="1:4" ht="25.5" x14ac:dyDescent="0.2">
      <c r="A3" s="1"/>
      <c r="B3" s="1" t="s">
        <v>42</v>
      </c>
      <c r="C3" s="8" t="s">
        <v>43</v>
      </c>
      <c r="D3" s="1"/>
    </row>
    <row r="4" spans="1:4" x14ac:dyDescent="0.2">
      <c r="A4" s="1" t="s">
        <v>41</v>
      </c>
      <c r="B4" s="6">
        <v>0.03</v>
      </c>
      <c r="C4" s="7">
        <f>B4*C14</f>
        <v>7.8975</v>
      </c>
      <c r="D4" s="1"/>
    </row>
    <row r="5" spans="1:4" x14ac:dyDescent="0.2">
      <c r="A5" s="1" t="s">
        <v>53</v>
      </c>
      <c r="B5" s="6">
        <v>0.02</v>
      </c>
      <c r="C5" s="7">
        <f>B5*C14</f>
        <v>5.2649999999999997</v>
      </c>
      <c r="D5" s="1"/>
    </row>
    <row r="6" spans="1:4" ht="25.5" x14ac:dyDescent="0.2">
      <c r="A6" s="1" t="s">
        <v>30</v>
      </c>
      <c r="B6" s="6">
        <v>0.05</v>
      </c>
      <c r="C6" s="7">
        <f>B6*C14</f>
        <v>13.162500000000001</v>
      </c>
      <c r="D6" s="1"/>
    </row>
    <row r="7" spans="1:4" ht="25.5" x14ac:dyDescent="0.2">
      <c r="A7" s="1" t="s">
        <v>31</v>
      </c>
      <c r="B7" s="6">
        <v>0.1</v>
      </c>
      <c r="C7" s="7">
        <f>B7*C14</f>
        <v>26.325000000000003</v>
      </c>
      <c r="D7" s="1"/>
    </row>
    <row r="8" spans="1:4" x14ac:dyDescent="0.2">
      <c r="A8" s="1" t="s">
        <v>32</v>
      </c>
      <c r="B8" s="6">
        <v>0.05</v>
      </c>
      <c r="C8" s="7">
        <f>B8*C14</f>
        <v>13.162500000000001</v>
      </c>
      <c r="D8" s="1"/>
    </row>
    <row r="9" spans="1:4" x14ac:dyDescent="0.2">
      <c r="A9" s="1" t="s">
        <v>33</v>
      </c>
      <c r="B9" s="6">
        <v>0.03</v>
      </c>
      <c r="C9" s="7">
        <f>B9*C14</f>
        <v>7.8975</v>
      </c>
      <c r="D9" s="1"/>
    </row>
    <row r="10" spans="1:4" x14ac:dyDescent="0.2">
      <c r="A10" s="1" t="s">
        <v>34</v>
      </c>
      <c r="B10" s="6">
        <v>0.19</v>
      </c>
      <c r="C10" s="7">
        <f>B10*C14</f>
        <v>50.017499999999998</v>
      </c>
      <c r="D10" s="1"/>
    </row>
    <row r="11" spans="1:4" ht="25.5" x14ac:dyDescent="0.2">
      <c r="A11" s="1" t="s">
        <v>35</v>
      </c>
      <c r="B11" s="6">
        <v>0.13</v>
      </c>
      <c r="C11" s="7">
        <f>B11*C14</f>
        <v>34.222500000000004</v>
      </c>
      <c r="D11" s="1"/>
    </row>
    <row r="12" spans="1:4" x14ac:dyDescent="0.2">
      <c r="A12" s="1" t="s">
        <v>36</v>
      </c>
      <c r="B12" s="6">
        <v>0.3</v>
      </c>
      <c r="C12" s="7">
        <f>B12*C14</f>
        <v>78.974999999999994</v>
      </c>
      <c r="D12" s="1"/>
    </row>
    <row r="13" spans="1:4" ht="25.5" x14ac:dyDescent="0.2">
      <c r="A13" s="1" t="s">
        <v>39</v>
      </c>
      <c r="B13" s="6">
        <v>0.1</v>
      </c>
      <c r="C13" s="7">
        <f>B13*C14</f>
        <v>26.325000000000003</v>
      </c>
      <c r="D13" s="1"/>
    </row>
    <row r="14" spans="1:4" ht="51" x14ac:dyDescent="0.2">
      <c r="A14" s="1"/>
      <c r="B14" s="6">
        <f>SUM(B4:B13)</f>
        <v>1.0000000000000002</v>
      </c>
      <c r="C14" s="8">
        <f>'Input Data'!B2*'Input Data'!B3*'Input Data'!B4*'Input Data'!B5</f>
        <v>263.25</v>
      </c>
      <c r="D14" s="10" t="s">
        <v>44</v>
      </c>
    </row>
    <row r="15" spans="1:4" x14ac:dyDescent="0.2">
      <c r="A15" s="1"/>
      <c r="B15" s="6"/>
      <c r="C15" s="8"/>
      <c r="D15" s="5"/>
    </row>
    <row r="16" spans="1:4" x14ac:dyDescent="0.2">
      <c r="A16" s="1" t="s">
        <v>51</v>
      </c>
      <c r="C16">
        <f>'Input Data'!B6*(IF('Input Data'!B2&lt;=40, Notes!B10*'Input Data'!B2, Notes!B12*'Input Data'!B2))</f>
        <v>19.5</v>
      </c>
      <c r="D16" s="5" t="s">
        <v>2</v>
      </c>
    </row>
    <row r="17" spans="1:4" x14ac:dyDescent="0.2">
      <c r="A17" s="1"/>
      <c r="B17" s="6"/>
      <c r="C17" s="8"/>
      <c r="D17" s="5"/>
    </row>
    <row r="18" spans="1:4" x14ac:dyDescent="0.2">
      <c r="B18" s="6"/>
      <c r="D18" s="5"/>
    </row>
    <row r="19" spans="1:4" x14ac:dyDescent="0.2">
      <c r="A19" s="18"/>
      <c r="B19" s="18"/>
      <c r="C19" s="20" t="s">
        <v>5</v>
      </c>
      <c r="D19" s="18"/>
    </row>
    <row r="20" spans="1:4" x14ac:dyDescent="0.2">
      <c r="A20" s="16" t="s">
        <v>10</v>
      </c>
      <c r="B20" s="18"/>
      <c r="C20" s="21">
        <f>C14*Notes!B5</f>
        <v>7592.13</v>
      </c>
      <c r="D20" s="18"/>
    </row>
    <row r="21" spans="1:4" x14ac:dyDescent="0.2">
      <c r="A21" s="16" t="s">
        <v>11</v>
      </c>
      <c r="B21" s="18"/>
      <c r="C21" s="21">
        <f>((('Input Data'!B9/'Input Data'!B10)*'Input Data'!B2*'Input Data'!B6)+C16)*Notes!B5</f>
        <v>1187.2466666666669</v>
      </c>
      <c r="D21" s="18"/>
    </row>
    <row r="22" spans="1:4" x14ac:dyDescent="0.2">
      <c r="A22" s="18" t="s">
        <v>12</v>
      </c>
      <c r="B22" s="18"/>
      <c r="C22" s="21">
        <f>'Input Data'!B12*'Input Data'!B9</f>
        <v>460</v>
      </c>
      <c r="D22" s="18"/>
    </row>
    <row r="23" spans="1:4" x14ac:dyDescent="0.2">
      <c r="A23" s="18" t="s">
        <v>8</v>
      </c>
      <c r="B23" s="18"/>
      <c r="C23" s="21">
        <f>'Input Data'!B11*'Input Data'!B9</f>
        <v>24000</v>
      </c>
      <c r="D23" s="18"/>
    </row>
    <row r="24" spans="1:4" x14ac:dyDescent="0.2">
      <c r="A24" s="18"/>
      <c r="B24" s="18"/>
      <c r="C24" s="21">
        <f>SUM(C20:C23)</f>
        <v>33239.376666666663</v>
      </c>
      <c r="D24" s="20" t="s">
        <v>9</v>
      </c>
    </row>
    <row r="25" spans="1:4" x14ac:dyDescent="0.2">
      <c r="A25" s="18"/>
      <c r="B25" s="18"/>
      <c r="C25" s="18"/>
      <c r="D25" s="18"/>
    </row>
    <row r="26" spans="1:4" x14ac:dyDescent="0.2">
      <c r="A26" s="18" t="s">
        <v>26</v>
      </c>
      <c r="B26" s="18"/>
      <c r="C26" s="21"/>
      <c r="D26" s="18"/>
    </row>
    <row r="27" spans="1:4" x14ac:dyDescent="0.2">
      <c r="A27" s="18" t="s">
        <v>22</v>
      </c>
      <c r="B27" s="18"/>
      <c r="C27" s="21">
        <f>'Input Data'!B15</f>
        <v>350</v>
      </c>
      <c r="D27" s="18"/>
    </row>
    <row r="28" spans="1:4" x14ac:dyDescent="0.2">
      <c r="A28" s="18" t="s">
        <v>23</v>
      </c>
      <c r="B28" s="18"/>
      <c r="C28" s="21">
        <f>'Input Data'!B16</f>
        <v>0</v>
      </c>
      <c r="D28" s="18"/>
    </row>
    <row r="29" spans="1:4" x14ac:dyDescent="0.2">
      <c r="A29" s="18" t="s">
        <v>24</v>
      </c>
      <c r="B29" s="18"/>
      <c r="C29" s="21">
        <f>'Input Data'!B17</f>
        <v>0</v>
      </c>
      <c r="D29" s="18"/>
    </row>
    <row r="30" spans="1:4" x14ac:dyDescent="0.2">
      <c r="A30" s="18" t="s">
        <v>25</v>
      </c>
      <c r="B30" s="18"/>
      <c r="C30" s="21">
        <v>600</v>
      </c>
      <c r="D30" s="18"/>
    </row>
    <row r="31" spans="1:4" x14ac:dyDescent="0.2">
      <c r="A31" s="18" t="s">
        <v>37</v>
      </c>
      <c r="B31" s="18"/>
      <c r="C31" s="21">
        <f>'Input Data'!B19</f>
        <v>160</v>
      </c>
      <c r="D31" s="18"/>
    </row>
    <row r="32" spans="1:4" x14ac:dyDescent="0.2">
      <c r="A32" s="18"/>
      <c r="B32" s="18"/>
      <c r="C32" s="18"/>
      <c r="D32" s="18"/>
    </row>
    <row r="33" spans="1:5" x14ac:dyDescent="0.2">
      <c r="A33" s="18"/>
      <c r="B33" s="18"/>
      <c r="C33" s="21">
        <f>SUM(C24+C27+C28+C29+C30+31)</f>
        <v>34220.376666666663</v>
      </c>
      <c r="D33" s="20" t="s">
        <v>1</v>
      </c>
    </row>
    <row r="34" spans="1:5" ht="60" x14ac:dyDescent="0.2">
      <c r="E34" s="14" t="s">
        <v>17</v>
      </c>
    </row>
  </sheetData>
  <hyperlinks>
    <hyperlink ref="A1" location="'Input Data'!A1" display="Note that the calculations on this page are based upon the data enter into the &quot;Input Data&quot; spreadsheet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5" sqref="B5"/>
    </sheetView>
  </sheetViews>
  <sheetFormatPr defaultColWidth="10.75" defaultRowHeight="12.75" x14ac:dyDescent="0.2"/>
  <cols>
    <col min="1" max="1" width="32.25" style="1" bestFit="1" customWidth="1"/>
    <col min="2" max="2" width="10.75" style="2"/>
    <col min="3" max="3" width="51" style="1" customWidth="1"/>
    <col min="4" max="16384" width="10.75" style="1"/>
  </cols>
  <sheetData>
    <row r="1" spans="1:3" ht="24.95" customHeight="1" x14ac:dyDescent="0.2">
      <c r="A1" s="1" t="s">
        <v>61</v>
      </c>
      <c r="B1" s="2">
        <v>2000</v>
      </c>
      <c r="C1" s="1" t="s">
        <v>57</v>
      </c>
    </row>
    <row r="2" spans="1:3" ht="24.95" customHeight="1" x14ac:dyDescent="0.2">
      <c r="A2" s="1" t="s">
        <v>62</v>
      </c>
      <c r="B2" s="2">
        <v>25</v>
      </c>
      <c r="C2" s="1" t="s">
        <v>58</v>
      </c>
    </row>
    <row r="3" spans="1:3" ht="24.95" customHeight="1" x14ac:dyDescent="0.2">
      <c r="A3" s="1" t="s">
        <v>63</v>
      </c>
      <c r="B3" s="2">
        <v>75</v>
      </c>
      <c r="C3" s="1" t="s">
        <v>59</v>
      </c>
    </row>
    <row r="4" spans="1:3" ht="24.95" customHeight="1" x14ac:dyDescent="0.2">
      <c r="A4" s="1" t="s">
        <v>64</v>
      </c>
      <c r="B4" s="2">
        <v>88</v>
      </c>
      <c r="C4" s="1" t="s">
        <v>28</v>
      </c>
    </row>
    <row r="5" spans="1:3" ht="24.95" customHeight="1" x14ac:dyDescent="0.2">
      <c r="A5" s="1" t="s">
        <v>65</v>
      </c>
      <c r="B5" s="2">
        <v>28.84</v>
      </c>
      <c r="C5" s="1" t="s">
        <v>3</v>
      </c>
    </row>
    <row r="6" spans="1:3" ht="24.95" customHeight="1" x14ac:dyDescent="0.2">
      <c r="A6" s="1" t="s">
        <v>66</v>
      </c>
      <c r="B6" s="3">
        <v>38.46</v>
      </c>
      <c r="C6" s="1" t="s">
        <v>4</v>
      </c>
    </row>
    <row r="7" spans="1:3" ht="24.95" customHeight="1" x14ac:dyDescent="0.2">
      <c r="A7" s="1" t="s">
        <v>67</v>
      </c>
      <c r="B7" s="2">
        <v>85</v>
      </c>
      <c r="C7" s="1" t="s">
        <v>27</v>
      </c>
    </row>
    <row r="9" spans="1:3" ht="24.95" customHeight="1" x14ac:dyDescent="0.2">
      <c r="A9" s="1" t="s">
        <v>56</v>
      </c>
      <c r="C9" s="1" t="s">
        <v>60</v>
      </c>
    </row>
    <row r="10" spans="1:3" ht="24.95" customHeight="1" x14ac:dyDescent="0.2">
      <c r="B10" s="4">
        <v>3</v>
      </c>
      <c r="C10" s="1" t="s">
        <v>68</v>
      </c>
    </row>
    <row r="11" spans="1:3" ht="24.95" customHeight="1" x14ac:dyDescent="0.2">
      <c r="B11" s="9">
        <v>2.5</v>
      </c>
      <c r="C11" s="1" t="s">
        <v>54</v>
      </c>
    </row>
    <row r="12" spans="1:3" ht="24.95" customHeight="1" x14ac:dyDescent="0.2">
      <c r="B12" s="4">
        <v>2</v>
      </c>
      <c r="C12" s="1" t="s">
        <v>55</v>
      </c>
    </row>
    <row r="14" spans="1:3" x14ac:dyDescent="0.2">
      <c r="A14"/>
      <c r="B14"/>
    </row>
    <row r="15" spans="1:3" x14ac:dyDescent="0.2">
      <c r="A15"/>
      <c r="B15"/>
    </row>
    <row r="16" spans="1:3" x14ac:dyDescent="0.2">
      <c r="A16"/>
      <c r="B16"/>
    </row>
    <row r="17" spans="1:2" x14ac:dyDescent="0.2">
      <c r="A17"/>
      <c r="B17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Input Data</vt:lpstr>
      <vt:lpstr>Training Estimates</vt:lpstr>
      <vt:lpstr>Notes</vt:lpstr>
      <vt:lpstr>Enter_data_in_this_column</vt:lpstr>
      <vt:lpstr>Note_that_the_calculations_on_this_page_are_based_upon_the_data_enter_into_the__Input_Data__spreadsheet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Clark</dc:creator>
  <cp:lastModifiedBy>Steve Arrants</cp:lastModifiedBy>
  <dcterms:created xsi:type="dcterms:W3CDTF">2008-01-21T20:50:53Z</dcterms:created>
  <dcterms:modified xsi:type="dcterms:W3CDTF">2015-01-22T18:45:58Z</dcterms:modified>
</cp:coreProperties>
</file>
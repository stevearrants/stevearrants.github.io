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13e1ed6883e21e6d/backup/sarrants_Content/ARTEMIS/ArtemisHelpFolder/D^0T/"/>
    </mc:Choice>
  </mc:AlternateContent>
  <xr:revisionPtr revIDLastSave="22" documentId="11_CD51C0A51CD5B5107972F0DE10200D715B90254C" xr6:coauthVersionLast="47" xr6:coauthVersionMax="47" xr10:uidLastSave="{A7AAD1D0-4062-4CD7-96BF-E713ACB3377F}"/>
  <bookViews>
    <workbookView xWindow="-98" yWindow="-98" windowWidth="20715" windowHeight="13875" xr2:uid="{00000000-000D-0000-FFFF-FFFF00000000}"/>
  </bookViews>
  <sheets>
    <sheet name="New Project" sheetId="11" r:id="rId1"/>
  </sheets>
  <definedNames>
    <definedName name="_xlnm.Print_Area" localSheetId="0">'New Project'!$A$1:$H$57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1" l="1"/>
  <c r="D6" i="11"/>
  <c r="D7" i="11" s="1"/>
  <c r="C12" i="11"/>
  <c r="C13" i="11"/>
  <c r="C14" i="11"/>
  <c r="C15" i="11"/>
  <c r="C18" i="11"/>
  <c r="C19" i="11"/>
  <c r="C20" i="11"/>
  <c r="C23" i="11"/>
  <c r="C24" i="11"/>
  <c r="C25" i="11"/>
  <c r="C26" i="11"/>
  <c r="C29" i="11"/>
  <c r="D29" i="11" s="1"/>
  <c r="C30" i="11"/>
  <c r="C31" i="11"/>
  <c r="C32" i="11"/>
  <c r="C35" i="11"/>
  <c r="D35" i="11"/>
  <c r="C36" i="11"/>
  <c r="C37" i="11"/>
  <c r="C38" i="11"/>
  <c r="C41" i="11"/>
  <c r="C42" i="11"/>
  <c r="C43" i="11"/>
  <c r="C44" i="11"/>
  <c r="D47" i="11"/>
  <c r="C48" i="11"/>
  <c r="C49" i="11"/>
  <c r="C50" i="11"/>
  <c r="D50" i="11" l="1"/>
  <c r="D48" i="11"/>
  <c r="D25" i="11"/>
  <c r="D18" i="11"/>
  <c r="D36" i="11"/>
  <c r="D49" i="11"/>
  <c r="D19" i="11"/>
  <c r="D15" i="11"/>
  <c r="D37" i="11"/>
  <c r="D44" i="11"/>
  <c r="D12" i="11"/>
  <c r="D26" i="11"/>
  <c r="D24" i="11"/>
  <c r="D31" i="11"/>
  <c r="D41" i="11"/>
  <c r="D42" i="11"/>
  <c r="D32" i="11"/>
  <c r="D38" i="11"/>
  <c r="D23" i="11"/>
  <c r="D43" i="11"/>
  <c r="D13" i="11"/>
  <c r="D30" i="11"/>
  <c r="D20" i="11"/>
  <c r="D14" i="11"/>
  <c r="D53" i="11" l="1"/>
  <c r="D54" i="11" s="1"/>
  <c r="D55" i="11" s="1"/>
</calcChain>
</file>

<file path=xl/sharedStrings.xml><?xml version="1.0" encoding="utf-8"?>
<sst xmlns="http://schemas.openxmlformats.org/spreadsheetml/2006/main" count="47" uniqueCount="47">
  <si>
    <t>Weight</t>
  </si>
  <si>
    <t>Size of Document:</t>
  </si>
  <si>
    <t># of pages</t>
  </si>
  <si>
    <t>New: create content, edit, format</t>
  </si>
  <si>
    <t>New: content provided, edit, format</t>
  </si>
  <si>
    <t>Update: add NEW content, edit &amp; format</t>
  </si>
  <si>
    <t>Microsoft Word</t>
  </si>
  <si>
    <t>HTML</t>
  </si>
  <si>
    <t>Visio</t>
  </si>
  <si>
    <t>Other</t>
  </si>
  <si>
    <t>Revise template?</t>
  </si>
  <si>
    <t>Create template?</t>
  </si>
  <si>
    <t>print/pdf</t>
  </si>
  <si>
    <t>online (HTML, CBT)</t>
  </si>
  <si>
    <t>Word doc</t>
  </si>
  <si>
    <t>multiple formats?</t>
  </si>
  <si>
    <t># of reviewers/stakeholders</t>
  </si>
  <si>
    <t>full (proof/content/structure) reviews required?</t>
  </si>
  <si>
    <t>technical reviews only?</t>
  </si>
  <si>
    <t>language (sp/grammar) edits only?</t>
  </si>
  <si>
    <t>Total</t>
  </si>
  <si>
    <t>Low</t>
  </si>
  <si>
    <t>Medium</t>
  </si>
  <si>
    <t>High</t>
  </si>
  <si>
    <t xml:space="preserve">Type of Document </t>
  </si>
  <si>
    <t xml:space="preserve">Complexity of Content </t>
  </si>
  <si>
    <t xml:space="preserve">Document Source </t>
  </si>
  <si>
    <t xml:space="preserve">Formatting </t>
  </si>
  <si>
    <t>Deliverable(s)</t>
  </si>
  <si>
    <t>Review Cycle</t>
  </si>
  <si>
    <r>
      <t xml:space="preserve">Choose </t>
    </r>
    <r>
      <rPr>
        <b/>
        <u/>
        <sz val="9"/>
        <rFont val="Arial"/>
        <family val="2"/>
      </rPr>
      <t>one</t>
    </r>
    <r>
      <rPr>
        <b/>
        <sz val="9"/>
        <rFont val="Arial"/>
        <family val="2"/>
      </rPr>
      <t xml:space="preserve"> item in each category:</t>
    </r>
  </si>
  <si>
    <t># of person weeks</t>
  </si>
  <si>
    <t>Project Totals:</t>
  </si>
  <si>
    <t xml:space="preserve"># project hours required </t>
  </si>
  <si>
    <t xml:space="preserve"># of person days </t>
  </si>
  <si>
    <t>Use existing template?</t>
  </si>
  <si>
    <t>No template required</t>
  </si>
  <si>
    <t>Update: edit &amp; format only</t>
  </si>
  <si>
    <t>None required</t>
  </si>
  <si>
    <t>Less than 5</t>
  </si>
  <si>
    <t>5 to 10</t>
  </si>
  <si>
    <t>More than 10</t>
  </si>
  <si>
    <t>Base Project</t>
  </si>
  <si>
    <r>
      <t xml:space="preserve"># of topics (use for </t>
    </r>
    <r>
      <rPr>
        <b/>
        <sz val="10"/>
        <rFont val="Arial"/>
        <family val="2"/>
      </rPr>
      <t>online</t>
    </r>
    <r>
      <rPr>
        <sz val="10"/>
        <rFont val="Arial"/>
        <family val="2"/>
      </rPr>
      <t xml:space="preserve"> only)</t>
    </r>
  </si>
  <si>
    <r>
      <t xml:space="preserve">Graphics </t>
    </r>
    <r>
      <rPr>
        <sz val="9"/>
        <rFont val="Arial"/>
        <family val="2"/>
      </rPr>
      <t>(includes only new or updated graphics)</t>
    </r>
  </si>
  <si>
    <t>Subtotal:</t>
  </si>
  <si>
    <t>Project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</si>
</sst>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;[Red]0"/>
    <numFmt numFmtId="165" formatCode="0.00;[Red]0.00"/>
    <numFmt numFmtId="166" formatCode="0.0;[Red]0.0"/>
    <numFmt numFmtId="167" formatCode=";;;"/>
    <numFmt numFmtId="168" formatCode="0.0"/>
  </numFmts>
  <fonts count="20" x14ac:knownFonts="1">
    <font>
      <sz val="10"/>
      <name val="Arial"/>
    </font>
    <font>
      <b/>
      <sz val="16"/>
      <color indexed="38"/>
      <name val="Verdana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7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6"/>
      <color indexed="9"/>
      <name val="Verdana"/>
      <family val="2"/>
    </font>
    <font>
      <b/>
      <sz val="11"/>
      <color indexed="9"/>
      <name val="Verdana"/>
      <family val="2"/>
    </font>
    <font>
      <b/>
      <sz val="14"/>
      <color indexed="38"/>
      <name val="Verdana"/>
      <family val="2"/>
    </font>
    <font>
      <sz val="9"/>
      <name val="Arial"/>
      <family val="2"/>
    </font>
    <font>
      <b/>
      <sz val="10"/>
      <color indexed="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2" borderId="1" xfId="0" applyNumberFormat="1" applyFill="1" applyBorder="1" applyAlignment="1" applyProtection="1">
      <alignment horizontal="center"/>
      <protection locked="0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167" fontId="0" fillId="0" borderId="0" xfId="0" applyNumberFormat="1" applyProtection="1">
      <protection locked="0"/>
    </xf>
    <xf numFmtId="0" fontId="4" fillId="0" borderId="0" xfId="0" applyNumberFormat="1" applyFont="1" applyAlignment="1">
      <alignment horizontal="center"/>
    </xf>
    <xf numFmtId="0" fontId="5" fillId="0" borderId="0" xfId="0" applyFont="1"/>
    <xf numFmtId="0" fontId="7" fillId="3" borderId="0" xfId="0" applyFont="1" applyFill="1"/>
    <xf numFmtId="0" fontId="7" fillId="3" borderId="0" xfId="0" applyFont="1" applyFill="1" applyProtection="1">
      <protection locked="0"/>
    </xf>
    <xf numFmtId="0" fontId="0" fillId="3" borderId="0" xfId="0" applyFill="1"/>
    <xf numFmtId="0" fontId="2" fillId="0" borderId="0" xfId="0" applyFont="1"/>
    <xf numFmtId="2" fontId="8" fillId="0" borderId="0" xfId="0" applyNumberFormat="1" applyFont="1" applyAlignment="1">
      <alignment horizontal="center"/>
    </xf>
    <xf numFmtId="164" fontId="10" fillId="0" borderId="0" xfId="0" applyNumberFormat="1" applyFont="1" applyFill="1" applyAlignment="1">
      <alignment horizontal="center"/>
    </xf>
    <xf numFmtId="166" fontId="10" fillId="0" borderId="0" xfId="0" applyNumberFormat="1" applyFont="1" applyFill="1" applyAlignment="1">
      <alignment horizontal="center"/>
    </xf>
    <xf numFmtId="164" fontId="0" fillId="0" borderId="0" xfId="0" applyNumberFormat="1" applyFill="1" applyBorder="1" applyAlignment="1" applyProtection="1">
      <alignment horizontal="center"/>
      <protection locked="0"/>
    </xf>
    <xf numFmtId="168" fontId="10" fillId="0" borderId="0" xfId="0" applyNumberFormat="1" applyFont="1" applyFill="1" applyAlignment="1">
      <alignment horizontal="center"/>
    </xf>
    <xf numFmtId="0" fontId="13" fillId="0" borderId="0" xfId="0" applyFont="1"/>
    <xf numFmtId="0" fontId="14" fillId="0" borderId="0" xfId="0" applyFont="1" applyProtection="1">
      <protection locked="0"/>
    </xf>
    <xf numFmtId="0" fontId="14" fillId="0" borderId="0" xfId="0" applyFont="1"/>
    <xf numFmtId="2" fontId="13" fillId="0" borderId="0" xfId="0" applyNumberFormat="1" applyFont="1" applyAlignment="1">
      <alignment horizontal="center"/>
    </xf>
    <xf numFmtId="0" fontId="15" fillId="4" borderId="0" xfId="0" applyFont="1" applyFill="1" applyAlignment="1" applyProtection="1">
      <alignment vertical="center"/>
      <protection locked="0"/>
    </xf>
    <xf numFmtId="0" fontId="15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65" fontId="6" fillId="0" borderId="0" xfId="0" applyNumberFormat="1" applyFont="1" applyAlignment="1">
      <alignment horizontal="center"/>
    </xf>
    <xf numFmtId="2" fontId="7" fillId="3" borderId="0" xfId="0" applyNumberFormat="1" applyFont="1" applyFill="1" applyAlignment="1">
      <alignment horizontal="center"/>
    </xf>
    <xf numFmtId="165" fontId="0" fillId="0" borderId="0" xfId="0" applyNumberFormat="1"/>
    <xf numFmtId="0" fontId="15" fillId="0" borderId="0" xfId="0" applyFont="1" applyFill="1" applyAlignment="1">
      <alignment vertical="center"/>
    </xf>
    <xf numFmtId="0" fontId="8" fillId="0" borderId="0" xfId="0" applyFont="1"/>
    <xf numFmtId="0" fontId="16" fillId="4" borderId="0" xfId="0" applyFont="1" applyFill="1" applyAlignment="1" applyProtection="1">
      <alignment vertical="center"/>
      <protection locked="0"/>
    </xf>
    <xf numFmtId="0" fontId="17" fillId="0" borderId="0" xfId="0" applyFont="1"/>
    <xf numFmtId="0" fontId="17" fillId="0" borderId="0" xfId="0" applyFont="1" applyProtection="1">
      <protection locked="0"/>
    </xf>
    <xf numFmtId="0" fontId="11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Fill="1" applyAlignment="1">
      <alignment vertical="center"/>
    </xf>
    <xf numFmtId="166" fontId="4" fillId="0" borderId="0" xfId="0" applyNumberFormat="1" applyFont="1" applyFill="1" applyAlignment="1">
      <alignment horizontal="center"/>
    </xf>
    <xf numFmtId="0" fontId="0" fillId="0" borderId="0" xfId="0" applyFill="1"/>
    <xf numFmtId="165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8" fillId="0" borderId="0" xfId="0" applyFont="1" applyFill="1" applyAlignment="1">
      <alignment horizontal="right" vertical="center"/>
    </xf>
    <xf numFmtId="168" fontId="19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B12" noThreeD="1"/>
</file>

<file path=xl/ctrlProps/ctrlProp2.xml><?xml version="1.0" encoding="utf-8"?>
<formControlPr xmlns="http://schemas.microsoft.com/office/spreadsheetml/2009/9/main" objectType="CheckBox" fmlaLink="B13" noThreeD="1"/>
</file>

<file path=xl/ctrlProps/ctrlProp3.xml><?xml version="1.0" encoding="utf-8"?>
<formControlPr xmlns="http://schemas.microsoft.com/office/spreadsheetml/2009/9/main" objectType="CheckBox" fmlaLink="B14" noThreeD="1"/>
</file>

<file path=xl/ctrlProps/ctrlProp4.xml><?xml version="1.0" encoding="utf-8"?>
<formControlPr xmlns="http://schemas.microsoft.com/office/spreadsheetml/2009/9/main" objectType="CheckBox" checked="Checked" fmlaLink="B15" noThreeD="1"/>
</file>

<file path=xl/ctrlProps/ctrlProp5.xml><?xml version="1.0" encoding="utf-8"?>
<formControlPr xmlns="http://schemas.microsoft.com/office/spreadsheetml/2009/9/main" objectType="CheckBox" fmlaLink="B18" noThreeD="1"/>
</file>

<file path=xl/ctrlProps/ctrlProp6.xml><?xml version="1.0" encoding="utf-8"?>
<formControlPr xmlns="http://schemas.microsoft.com/office/spreadsheetml/2009/9/main" objectType="CheckBox" checked="Checked" fmlaLink="B19" noThreeD="1"/>
</file>

<file path=xl/ctrlProps/ctrlProp7.xml><?xml version="1.0" encoding="utf-8"?>
<formControlPr xmlns="http://schemas.microsoft.com/office/spreadsheetml/2009/9/main" objectType="CheckBox" fmlaLink="B20" noThreeD="1"/>
</file>

<file path=xl/ctrlProps/ctrlProp8.xml><?xml version="1.0" encoding="utf-8"?>
<formControlPr xmlns="http://schemas.microsoft.com/office/spreadsheetml/2009/9/main" objectType="CheckBox" fmlaLink="B23" noThreeD="1"/>
</file>

<file path=xl/ctrlProps/ctrlProp9.xml><?xml version="1.0" encoding="utf-8"?>
<formControlPr xmlns="http://schemas.microsoft.com/office/spreadsheetml/2009/9/main" objectType="CheckBox" checked="Checked" fmlaLink="B24" noThreeD="1"/>
</file>

<file path=xl/ctrlProps/ctrlProp10.xml><?xml version="1.0" encoding="utf-8"?>
<formControlPr xmlns="http://schemas.microsoft.com/office/spreadsheetml/2009/9/main" objectType="CheckBox" fmlaLink="B25" noThreeD="1"/>
</file>

<file path=xl/ctrlProps/ctrlProp11.xml><?xml version="1.0" encoding="utf-8"?>
<formControlPr xmlns="http://schemas.microsoft.com/office/spreadsheetml/2009/9/main" objectType="CheckBox" fmlaLink="B26" noThreeD="1"/>
</file>

<file path=xl/ctrlProps/ctrlProp12.xml><?xml version="1.0" encoding="utf-8"?>
<formControlPr xmlns="http://schemas.microsoft.com/office/spreadsheetml/2009/9/main" objectType="CheckBox" checked="Checked" fmlaLink="B30" noThreeD="1"/>
</file>

<file path=xl/ctrlProps/ctrlProp13.xml><?xml version="1.0" encoding="utf-8"?>
<formControlPr xmlns="http://schemas.microsoft.com/office/spreadsheetml/2009/9/main" objectType="CheckBox" fmlaLink="B31" noThreeD="1"/>
</file>

<file path=xl/ctrlProps/ctrlProp14.xml><?xml version="1.0" encoding="utf-8"?>
<formControlPr xmlns="http://schemas.microsoft.com/office/spreadsheetml/2009/9/main" objectType="CheckBox" fmlaLink="B32" noThreeD="1"/>
</file>

<file path=xl/ctrlProps/ctrlProp15.xml><?xml version="1.0" encoding="utf-8"?>
<formControlPr xmlns="http://schemas.microsoft.com/office/spreadsheetml/2009/9/main" objectType="CheckBox" fmlaLink="B41" noThreeD="1"/>
</file>

<file path=xl/ctrlProps/ctrlProp16.xml><?xml version="1.0" encoding="utf-8"?>
<formControlPr xmlns="http://schemas.microsoft.com/office/spreadsheetml/2009/9/main" objectType="CheckBox" fmlaLink="B42" noThreeD="1"/>
</file>

<file path=xl/ctrlProps/ctrlProp17.xml><?xml version="1.0" encoding="utf-8"?>
<formControlPr xmlns="http://schemas.microsoft.com/office/spreadsheetml/2009/9/main" objectType="CheckBox" fmlaLink="B43" noThreeD="1"/>
</file>

<file path=xl/ctrlProps/ctrlProp18.xml><?xml version="1.0" encoding="utf-8"?>
<formControlPr xmlns="http://schemas.microsoft.com/office/spreadsheetml/2009/9/main" objectType="CheckBox" checked="Checked" fmlaLink="B44" noThreeD="1"/>
</file>

<file path=xl/ctrlProps/ctrlProp19.xml><?xml version="1.0" encoding="utf-8"?>
<formControlPr xmlns="http://schemas.microsoft.com/office/spreadsheetml/2009/9/main" objectType="CheckBox" checked="Checked" fmlaLink="B48" noThreeD="1"/>
</file>

<file path=xl/ctrlProps/ctrlProp20.xml><?xml version="1.0" encoding="utf-8"?>
<formControlPr xmlns="http://schemas.microsoft.com/office/spreadsheetml/2009/9/main" objectType="CheckBox" fmlaLink="B49" noThreeD="1"/>
</file>

<file path=xl/ctrlProps/ctrlProp21.xml><?xml version="1.0" encoding="utf-8"?>
<formControlPr xmlns="http://schemas.microsoft.com/office/spreadsheetml/2009/9/main" objectType="CheckBox" fmlaLink="B50" noThreeD="1"/>
</file>

<file path=xl/ctrlProps/ctrlProp22.xml><?xml version="1.0" encoding="utf-8"?>
<formControlPr xmlns="http://schemas.microsoft.com/office/spreadsheetml/2009/9/main" objectType="CheckBox" fmlaLink="B29" noThreeD="1"/>
</file>

<file path=xl/ctrlProps/ctrlProp23.xml><?xml version="1.0" encoding="utf-8"?>
<formControlPr xmlns="http://schemas.microsoft.com/office/spreadsheetml/2009/9/main" objectType="CheckBox" fmlaLink="B35" noThreeD="1"/>
</file>

<file path=xl/ctrlProps/ctrlProp24.xml><?xml version="1.0" encoding="utf-8"?>
<formControlPr xmlns="http://schemas.microsoft.com/office/spreadsheetml/2009/9/main" objectType="CheckBox" fmlaLink="B36" noThreeD="1"/>
</file>

<file path=xl/ctrlProps/ctrlProp25.xml><?xml version="1.0" encoding="utf-8"?>
<formControlPr xmlns="http://schemas.microsoft.com/office/spreadsheetml/2009/9/main" objectType="CheckBox" fmlaLink="B37" noThreeD="1"/>
</file>

<file path=xl/ctrlProps/ctrlProp26.xml><?xml version="1.0" encoding="utf-8"?>
<formControlPr xmlns="http://schemas.microsoft.com/office/spreadsheetml/2009/9/main" objectType="CheckBox" checked="Checked" fmlaLink="B38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10</xdr:row>
          <xdr:rowOff>133350</xdr:rowOff>
        </xdr:from>
        <xdr:to>
          <xdr:col>1</xdr:col>
          <xdr:colOff>342900</xdr:colOff>
          <xdr:row>12</xdr:row>
          <xdr:rowOff>38100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11</xdr:row>
          <xdr:rowOff>142875</xdr:rowOff>
        </xdr:from>
        <xdr:to>
          <xdr:col>1</xdr:col>
          <xdr:colOff>342900</xdr:colOff>
          <xdr:row>13</xdr:row>
          <xdr:rowOff>47625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0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12</xdr:row>
          <xdr:rowOff>142875</xdr:rowOff>
        </xdr:from>
        <xdr:to>
          <xdr:col>1</xdr:col>
          <xdr:colOff>342900</xdr:colOff>
          <xdr:row>14</xdr:row>
          <xdr:rowOff>38100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0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13</xdr:row>
          <xdr:rowOff>133350</xdr:rowOff>
        </xdr:from>
        <xdr:to>
          <xdr:col>1</xdr:col>
          <xdr:colOff>342900</xdr:colOff>
          <xdr:row>15</xdr:row>
          <xdr:rowOff>28575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0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16</xdr:row>
          <xdr:rowOff>171450</xdr:rowOff>
        </xdr:from>
        <xdr:to>
          <xdr:col>1</xdr:col>
          <xdr:colOff>342900</xdr:colOff>
          <xdr:row>18</xdr:row>
          <xdr:rowOff>57150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0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17</xdr:row>
          <xdr:rowOff>142875</xdr:rowOff>
        </xdr:from>
        <xdr:to>
          <xdr:col>1</xdr:col>
          <xdr:colOff>342900</xdr:colOff>
          <xdr:row>19</xdr:row>
          <xdr:rowOff>38100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0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18</xdr:row>
          <xdr:rowOff>142875</xdr:rowOff>
        </xdr:from>
        <xdr:to>
          <xdr:col>1</xdr:col>
          <xdr:colOff>342900</xdr:colOff>
          <xdr:row>20</xdr:row>
          <xdr:rowOff>38100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0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21</xdr:row>
          <xdr:rowOff>133350</xdr:rowOff>
        </xdr:from>
        <xdr:to>
          <xdr:col>1</xdr:col>
          <xdr:colOff>333375</xdr:colOff>
          <xdr:row>23</xdr:row>
          <xdr:rowOff>28575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0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22</xdr:row>
          <xdr:rowOff>133350</xdr:rowOff>
        </xdr:from>
        <xdr:to>
          <xdr:col>1</xdr:col>
          <xdr:colOff>333375</xdr:colOff>
          <xdr:row>24</xdr:row>
          <xdr:rowOff>28575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0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23</xdr:row>
          <xdr:rowOff>133350</xdr:rowOff>
        </xdr:from>
        <xdr:to>
          <xdr:col>1</xdr:col>
          <xdr:colOff>333375</xdr:colOff>
          <xdr:row>25</xdr:row>
          <xdr:rowOff>28575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0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24</xdr:row>
          <xdr:rowOff>133350</xdr:rowOff>
        </xdr:from>
        <xdr:to>
          <xdr:col>1</xdr:col>
          <xdr:colOff>333375</xdr:colOff>
          <xdr:row>26</xdr:row>
          <xdr:rowOff>28575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0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28</xdr:row>
          <xdr:rowOff>152400</xdr:rowOff>
        </xdr:from>
        <xdr:to>
          <xdr:col>1</xdr:col>
          <xdr:colOff>333375</xdr:colOff>
          <xdr:row>30</xdr:row>
          <xdr:rowOff>28575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0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29</xdr:row>
          <xdr:rowOff>171450</xdr:rowOff>
        </xdr:from>
        <xdr:to>
          <xdr:col>1</xdr:col>
          <xdr:colOff>333375</xdr:colOff>
          <xdr:row>31</xdr:row>
          <xdr:rowOff>28575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0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30</xdr:row>
          <xdr:rowOff>171450</xdr:rowOff>
        </xdr:from>
        <xdr:to>
          <xdr:col>1</xdr:col>
          <xdr:colOff>333375</xdr:colOff>
          <xdr:row>32</xdr:row>
          <xdr:rowOff>19050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0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39</xdr:row>
          <xdr:rowOff>123825</xdr:rowOff>
        </xdr:from>
        <xdr:to>
          <xdr:col>1</xdr:col>
          <xdr:colOff>342900</xdr:colOff>
          <xdr:row>41</xdr:row>
          <xdr:rowOff>19050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0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40</xdr:row>
          <xdr:rowOff>123825</xdr:rowOff>
        </xdr:from>
        <xdr:to>
          <xdr:col>1</xdr:col>
          <xdr:colOff>342900</xdr:colOff>
          <xdr:row>42</xdr:row>
          <xdr:rowOff>19050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0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41</xdr:row>
          <xdr:rowOff>133350</xdr:rowOff>
        </xdr:from>
        <xdr:to>
          <xdr:col>1</xdr:col>
          <xdr:colOff>342900</xdr:colOff>
          <xdr:row>43</xdr:row>
          <xdr:rowOff>28575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0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42</xdr:row>
          <xdr:rowOff>133350</xdr:rowOff>
        </xdr:from>
        <xdr:to>
          <xdr:col>1</xdr:col>
          <xdr:colOff>342900</xdr:colOff>
          <xdr:row>44</xdr:row>
          <xdr:rowOff>28575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0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46</xdr:row>
          <xdr:rowOff>133350</xdr:rowOff>
        </xdr:from>
        <xdr:to>
          <xdr:col>1</xdr:col>
          <xdr:colOff>352425</xdr:colOff>
          <xdr:row>48</xdr:row>
          <xdr:rowOff>28575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0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47</xdr:row>
          <xdr:rowOff>133350</xdr:rowOff>
        </xdr:from>
        <xdr:to>
          <xdr:col>1</xdr:col>
          <xdr:colOff>352425</xdr:colOff>
          <xdr:row>49</xdr:row>
          <xdr:rowOff>28575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0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48</xdr:row>
          <xdr:rowOff>133350</xdr:rowOff>
        </xdr:from>
        <xdr:to>
          <xdr:col>1</xdr:col>
          <xdr:colOff>352425</xdr:colOff>
          <xdr:row>50</xdr:row>
          <xdr:rowOff>28575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0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27</xdr:row>
          <xdr:rowOff>104775</xdr:rowOff>
        </xdr:from>
        <xdr:to>
          <xdr:col>1</xdr:col>
          <xdr:colOff>333375</xdr:colOff>
          <xdr:row>29</xdr:row>
          <xdr:rowOff>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0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33</xdr:row>
          <xdr:rowOff>123825</xdr:rowOff>
        </xdr:from>
        <xdr:to>
          <xdr:col>1</xdr:col>
          <xdr:colOff>333375</xdr:colOff>
          <xdr:row>35</xdr:row>
          <xdr:rowOff>19050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0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34</xdr:row>
          <xdr:rowOff>133350</xdr:rowOff>
        </xdr:from>
        <xdr:to>
          <xdr:col>1</xdr:col>
          <xdr:colOff>333375</xdr:colOff>
          <xdr:row>36</xdr:row>
          <xdr:rowOff>28575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0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35</xdr:row>
          <xdr:rowOff>123825</xdr:rowOff>
        </xdr:from>
        <xdr:to>
          <xdr:col>1</xdr:col>
          <xdr:colOff>333375</xdr:colOff>
          <xdr:row>37</xdr:row>
          <xdr:rowOff>47625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0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36</xdr:row>
          <xdr:rowOff>133350</xdr:rowOff>
        </xdr:from>
        <xdr:to>
          <xdr:col>1</xdr:col>
          <xdr:colOff>333375</xdr:colOff>
          <xdr:row>38</xdr:row>
          <xdr:rowOff>57150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D54" sqref="D54"/>
    </sheetView>
  </sheetViews>
  <sheetFormatPr defaultRowHeight="12.75" x14ac:dyDescent="0.35"/>
  <cols>
    <col min="1" max="1" width="40.86328125" customWidth="1"/>
    <col min="2" max="2" width="6" customWidth="1"/>
    <col min="3" max="3" width="7.265625" customWidth="1"/>
  </cols>
  <sheetData>
    <row r="1" spans="1:7" s="35" customFormat="1" ht="18.75" customHeight="1" x14ac:dyDescent="0.45">
      <c r="A1" s="35" t="s">
        <v>46</v>
      </c>
      <c r="B1" s="36"/>
    </row>
    <row r="2" spans="1:7" s="28" customFormat="1" ht="18.75" customHeight="1" x14ac:dyDescent="0.35">
      <c r="A2" s="34" t="s">
        <v>42</v>
      </c>
      <c r="B2" s="26"/>
      <c r="C2" s="27"/>
      <c r="D2" s="27"/>
      <c r="E2" s="27"/>
      <c r="F2" s="32"/>
      <c r="G2" s="32"/>
    </row>
    <row r="3" spans="1:7" ht="16.5" customHeight="1" x14ac:dyDescent="0.4">
      <c r="B3" s="1"/>
      <c r="C3" s="2" t="s">
        <v>0</v>
      </c>
      <c r="D3" s="3" t="s">
        <v>20</v>
      </c>
    </row>
    <row r="4" spans="1:7" ht="13.15" x14ac:dyDescent="0.4">
      <c r="A4" s="33" t="s">
        <v>1</v>
      </c>
      <c r="B4" s="1"/>
      <c r="C4" s="4"/>
    </row>
    <row r="5" spans="1:7" x14ac:dyDescent="0.35">
      <c r="A5" t="s">
        <v>2</v>
      </c>
      <c r="B5" s="5">
        <v>145</v>
      </c>
      <c r="C5" s="43">
        <v>0.3</v>
      </c>
      <c r="D5" s="18">
        <f>SUM(B5*C5)</f>
        <v>43.5</v>
      </c>
    </row>
    <row r="6" spans="1:7" ht="13.5" thickBot="1" x14ac:dyDescent="0.4">
      <c r="A6" s="38" t="s">
        <v>43</v>
      </c>
      <c r="B6" s="5">
        <v>140</v>
      </c>
      <c r="C6" s="42">
        <v>0.25</v>
      </c>
      <c r="D6" s="21">
        <f>SUM(B6*C6)</f>
        <v>35</v>
      </c>
    </row>
    <row r="7" spans="1:7" ht="13.15" x14ac:dyDescent="0.4">
      <c r="A7" s="45" t="s">
        <v>45</v>
      </c>
      <c r="B7" s="20"/>
      <c r="C7" s="40"/>
      <c r="D7" s="46">
        <f>SUM(D5:D6)</f>
        <v>78.5</v>
      </c>
    </row>
    <row r="8" spans="1:7" x14ac:dyDescent="0.35">
      <c r="A8" s="38"/>
      <c r="B8" s="20"/>
      <c r="C8" s="6"/>
      <c r="D8" s="21"/>
    </row>
    <row r="9" spans="1:7" ht="14.25" customHeight="1" x14ac:dyDescent="0.35">
      <c r="A9" s="37" t="s">
        <v>30</v>
      </c>
      <c r="B9" s="20"/>
      <c r="C9" s="6"/>
      <c r="D9" s="19"/>
    </row>
    <row r="10" spans="1:7" s="41" customFormat="1" ht="8.4499999999999993" customHeight="1" x14ac:dyDescent="0.35">
      <c r="A10" s="39"/>
      <c r="B10" s="20"/>
      <c r="C10" s="40"/>
      <c r="D10" s="19"/>
    </row>
    <row r="11" spans="1:7" ht="13.15" x14ac:dyDescent="0.4">
      <c r="A11" s="33" t="s">
        <v>24</v>
      </c>
      <c r="B11" s="1"/>
      <c r="C11" s="7"/>
      <c r="D11" s="8"/>
    </row>
    <row r="12" spans="1:7" x14ac:dyDescent="0.35">
      <c r="A12" s="9" t="s">
        <v>3</v>
      </c>
      <c r="B12" s="10" t="b">
        <v>0</v>
      </c>
      <c r="C12" s="11">
        <f>IF(B12,1,0)</f>
        <v>0</v>
      </c>
      <c r="D12" s="29">
        <f>SUM(C12*(D7))</f>
        <v>0</v>
      </c>
    </row>
    <row r="13" spans="1:7" x14ac:dyDescent="0.35">
      <c r="A13" t="s">
        <v>4</v>
      </c>
      <c r="B13" s="10" t="b">
        <v>0</v>
      </c>
      <c r="C13" s="11">
        <f>IF(B13,0.5,0)</f>
        <v>0</v>
      </c>
      <c r="D13" s="29">
        <f>SUM(C13*D7)</f>
        <v>0</v>
      </c>
    </row>
    <row r="14" spans="1:7" x14ac:dyDescent="0.35">
      <c r="A14" t="s">
        <v>5</v>
      </c>
      <c r="B14" s="10" t="b">
        <v>0</v>
      </c>
      <c r="C14" s="11">
        <f>IF(B14,0.75,0)</f>
        <v>0</v>
      </c>
      <c r="D14" s="29">
        <f>SUM(C14*D7)</f>
        <v>0</v>
      </c>
    </row>
    <row r="15" spans="1:7" x14ac:dyDescent="0.35">
      <c r="A15" t="s">
        <v>37</v>
      </c>
      <c r="B15" s="10" t="b">
        <v>1</v>
      </c>
      <c r="C15" s="11">
        <f>IF(B15,0.25,0)</f>
        <v>0.25</v>
      </c>
      <c r="D15" s="29">
        <f>SUM(C15*D7)</f>
        <v>19.625</v>
      </c>
    </row>
    <row r="16" spans="1:7" ht="9.75" customHeight="1" x14ac:dyDescent="0.35">
      <c r="B16" s="1"/>
      <c r="C16" s="4"/>
      <c r="D16" s="29"/>
    </row>
    <row r="17" spans="1:4" ht="13.15" x14ac:dyDescent="0.4">
      <c r="A17" s="33" t="s">
        <v>25</v>
      </c>
      <c r="B17" s="1"/>
      <c r="C17" s="4"/>
      <c r="D17" s="29"/>
    </row>
    <row r="18" spans="1:4" x14ac:dyDescent="0.35">
      <c r="A18" t="s">
        <v>21</v>
      </c>
      <c r="B18" s="10" t="b">
        <v>0</v>
      </c>
      <c r="C18" s="11">
        <f>IF(B18,0.25,0)</f>
        <v>0</v>
      </c>
      <c r="D18" s="29">
        <f>SUM(C18*D7)</f>
        <v>0</v>
      </c>
    </row>
    <row r="19" spans="1:4" x14ac:dyDescent="0.35">
      <c r="A19" t="s">
        <v>22</v>
      </c>
      <c r="B19" s="10" t="b">
        <v>1</v>
      </c>
      <c r="C19" s="11">
        <f>IF(B19,0.5,0)</f>
        <v>0.5</v>
      </c>
      <c r="D19" s="29">
        <f>SUM(C19*D7)</f>
        <v>39.25</v>
      </c>
    </row>
    <row r="20" spans="1:4" x14ac:dyDescent="0.35">
      <c r="A20" t="s">
        <v>23</v>
      </c>
      <c r="B20" s="10" t="b">
        <v>0</v>
      </c>
      <c r="C20" s="11">
        <f>IF(B20,1,0)</f>
        <v>0</v>
      </c>
      <c r="D20" s="29">
        <f>SUM(C20*D7)</f>
        <v>0</v>
      </c>
    </row>
    <row r="21" spans="1:4" ht="9.75" customHeight="1" x14ac:dyDescent="0.35">
      <c r="B21" s="1"/>
      <c r="C21" s="4"/>
      <c r="D21" s="29"/>
    </row>
    <row r="22" spans="1:4" ht="13.15" x14ac:dyDescent="0.4">
      <c r="A22" s="33" t="s">
        <v>26</v>
      </c>
      <c r="B22" s="1"/>
      <c r="C22" s="4"/>
      <c r="D22" s="29"/>
    </row>
    <row r="23" spans="1:4" x14ac:dyDescent="0.35">
      <c r="A23" t="s">
        <v>6</v>
      </c>
      <c r="B23" s="10" t="b">
        <v>0</v>
      </c>
      <c r="C23" s="11">
        <f>IF(B23,0.75,0)</f>
        <v>0</v>
      </c>
      <c r="D23" s="29">
        <f>SUM(D7*C23)</f>
        <v>0</v>
      </c>
    </row>
    <row r="24" spans="1:4" x14ac:dyDescent="0.35">
      <c r="A24" t="s">
        <v>7</v>
      </c>
      <c r="B24" s="10" t="b">
        <v>1</v>
      </c>
      <c r="C24" s="11">
        <f>IF(B24,1,0)</f>
        <v>1</v>
      </c>
      <c r="D24" s="29">
        <f>SUM(D7*C24)</f>
        <v>78.5</v>
      </c>
    </row>
    <row r="25" spans="1:4" x14ac:dyDescent="0.35">
      <c r="A25" t="s">
        <v>8</v>
      </c>
      <c r="B25" s="10" t="b">
        <v>0</v>
      </c>
      <c r="C25" s="11">
        <f>IF(B25,1,0)</f>
        <v>0</v>
      </c>
      <c r="D25" s="29">
        <f>SUM(D7*C25)</f>
        <v>0</v>
      </c>
    </row>
    <row r="26" spans="1:4" x14ac:dyDescent="0.35">
      <c r="A26" t="s">
        <v>9</v>
      </c>
      <c r="B26" s="10" t="b">
        <v>0</v>
      </c>
      <c r="C26" s="11">
        <f>IF(B26,1.25,0)</f>
        <v>0</v>
      </c>
      <c r="D26" s="29">
        <f>SUM(D7*C26)</f>
        <v>0</v>
      </c>
    </row>
    <row r="27" spans="1:4" ht="9.75" customHeight="1" x14ac:dyDescent="0.35">
      <c r="B27" s="1"/>
      <c r="C27" s="4"/>
      <c r="D27" s="29"/>
    </row>
    <row r="28" spans="1:4" ht="13.15" x14ac:dyDescent="0.4">
      <c r="A28" s="33" t="s">
        <v>27</v>
      </c>
      <c r="B28" s="1"/>
      <c r="C28" s="4"/>
      <c r="D28" s="29"/>
    </row>
    <row r="29" spans="1:4" x14ac:dyDescent="0.35">
      <c r="A29" t="s">
        <v>36</v>
      </c>
      <c r="B29" s="10" t="b">
        <v>0</v>
      </c>
      <c r="C29" s="11">
        <f>IF(B29,0,0)</f>
        <v>0</v>
      </c>
      <c r="D29" s="29">
        <f>C29</f>
        <v>0</v>
      </c>
    </row>
    <row r="30" spans="1:4" ht="14.25" customHeight="1" x14ac:dyDescent="0.35">
      <c r="A30" t="s">
        <v>35</v>
      </c>
      <c r="B30" s="10" t="b">
        <v>1</v>
      </c>
      <c r="C30" s="11">
        <f>IF(B30,0.25,0)</f>
        <v>0.25</v>
      </c>
      <c r="D30" s="29">
        <f>SUM(C30*D7)</f>
        <v>19.625</v>
      </c>
    </row>
    <row r="31" spans="1:4" ht="14.25" customHeight="1" x14ac:dyDescent="0.35">
      <c r="A31" t="s">
        <v>10</v>
      </c>
      <c r="B31" s="10" t="b">
        <v>0</v>
      </c>
      <c r="C31" s="11">
        <f>IF(B31,0.5,0)</f>
        <v>0</v>
      </c>
      <c r="D31" s="29">
        <f>SUM(C31*D7)</f>
        <v>0</v>
      </c>
    </row>
    <row r="32" spans="1:4" ht="15" customHeight="1" x14ac:dyDescent="0.35">
      <c r="A32" t="s">
        <v>11</v>
      </c>
      <c r="B32" s="10" t="b">
        <v>0</v>
      </c>
      <c r="C32" s="11">
        <f>IF(B32,1,0)</f>
        <v>0</v>
      </c>
      <c r="D32" s="29">
        <f>SUM(C32*D7)</f>
        <v>0</v>
      </c>
    </row>
    <row r="33" spans="1:4" ht="11.25" customHeight="1" x14ac:dyDescent="0.35">
      <c r="B33" s="1"/>
      <c r="D33" s="31"/>
    </row>
    <row r="34" spans="1:4" ht="13.15" x14ac:dyDescent="0.4">
      <c r="A34" s="33" t="s">
        <v>44</v>
      </c>
      <c r="B34" s="1"/>
      <c r="D34" s="31"/>
    </row>
    <row r="35" spans="1:4" x14ac:dyDescent="0.35">
      <c r="A35" t="s">
        <v>38</v>
      </c>
      <c r="B35" s="10" t="b">
        <v>0</v>
      </c>
      <c r="C35" s="11">
        <f>IF(B35,0,0)</f>
        <v>0</v>
      </c>
      <c r="D35" s="29">
        <f>C35</f>
        <v>0</v>
      </c>
    </row>
    <row r="36" spans="1:4" x14ac:dyDescent="0.35">
      <c r="A36" t="s">
        <v>39</v>
      </c>
      <c r="B36" s="10" t="b">
        <v>0</v>
      </c>
      <c r="C36" s="11">
        <f>IF(B36,0.25,0)</f>
        <v>0</v>
      </c>
      <c r="D36" s="29">
        <f>SUM(C36*D7)</f>
        <v>0</v>
      </c>
    </row>
    <row r="37" spans="1:4" x14ac:dyDescent="0.35">
      <c r="A37" t="s">
        <v>40</v>
      </c>
      <c r="B37" s="10" t="b">
        <v>0</v>
      </c>
      <c r="C37" s="11">
        <f>IF(B37,0.5,0)</f>
        <v>0</v>
      </c>
      <c r="D37" s="29">
        <f>SUM(C37*D7)</f>
        <v>0</v>
      </c>
    </row>
    <row r="38" spans="1:4" x14ac:dyDescent="0.35">
      <c r="A38" t="s">
        <v>41</v>
      </c>
      <c r="B38" s="10" t="b">
        <v>1</v>
      </c>
      <c r="C38" s="11">
        <f>IF(B38,1,0)</f>
        <v>1</v>
      </c>
      <c r="D38" s="29">
        <f>SUM(C38*D7)</f>
        <v>78.5</v>
      </c>
    </row>
    <row r="39" spans="1:4" ht="10.5" customHeight="1" x14ac:dyDescent="0.35">
      <c r="B39" s="10"/>
      <c r="D39" s="31"/>
    </row>
    <row r="40" spans="1:4" ht="13.15" x14ac:dyDescent="0.4">
      <c r="A40" s="33" t="s">
        <v>28</v>
      </c>
      <c r="B40" s="1"/>
      <c r="C40" s="4"/>
      <c r="D40" s="29"/>
    </row>
    <row r="41" spans="1:4" x14ac:dyDescent="0.35">
      <c r="A41" t="s">
        <v>12</v>
      </c>
      <c r="B41" s="10" t="b">
        <v>0</v>
      </c>
      <c r="C41" s="11">
        <f>IF(B41,0.75,0)</f>
        <v>0</v>
      </c>
      <c r="D41" s="29">
        <f>SUM(C41*D7)</f>
        <v>0</v>
      </c>
    </row>
    <row r="42" spans="1:4" x14ac:dyDescent="0.35">
      <c r="A42" t="s">
        <v>13</v>
      </c>
      <c r="B42" s="10" t="b">
        <v>0</v>
      </c>
      <c r="C42" s="11">
        <f>IF(B42,0.75,0)</f>
        <v>0</v>
      </c>
      <c r="D42" s="29">
        <f>SUM(C42*D7)</f>
        <v>0</v>
      </c>
    </row>
    <row r="43" spans="1:4" x14ac:dyDescent="0.35">
      <c r="A43" t="s">
        <v>14</v>
      </c>
      <c r="B43" s="10" t="b">
        <v>0</v>
      </c>
      <c r="C43" s="11">
        <f>IF(B43,0.5,0)</f>
        <v>0</v>
      </c>
      <c r="D43" s="29">
        <f>SUM(C43*D7)</f>
        <v>0</v>
      </c>
    </row>
    <row r="44" spans="1:4" x14ac:dyDescent="0.35">
      <c r="A44" t="s">
        <v>15</v>
      </c>
      <c r="B44" s="10" t="b">
        <v>1</v>
      </c>
      <c r="C44" s="44">
        <f>IF(B44,1,0)</f>
        <v>1</v>
      </c>
      <c r="D44" s="29">
        <f>SUM(C44*D7)</f>
        <v>78.5</v>
      </c>
    </row>
    <row r="45" spans="1:4" ht="9.75" customHeight="1" x14ac:dyDescent="0.35">
      <c r="B45" s="1"/>
      <c r="C45" s="4"/>
      <c r="D45" s="31"/>
    </row>
    <row r="46" spans="1:4" ht="13.15" x14ac:dyDescent="0.4">
      <c r="A46" s="33" t="s">
        <v>29</v>
      </c>
      <c r="B46" s="1"/>
      <c r="C46" s="4"/>
      <c r="D46" s="31"/>
    </row>
    <row r="47" spans="1:4" x14ac:dyDescent="0.35">
      <c r="A47" t="s">
        <v>16</v>
      </c>
      <c r="B47" s="5">
        <v>3</v>
      </c>
      <c r="C47" s="42">
        <v>0.25</v>
      </c>
      <c r="D47" s="29">
        <f>SUM(B47*C47)</f>
        <v>0.75</v>
      </c>
    </row>
    <row r="48" spans="1:4" x14ac:dyDescent="0.35">
      <c r="A48" t="s">
        <v>17</v>
      </c>
      <c r="B48" s="10" t="b">
        <v>1</v>
      </c>
      <c r="C48" s="44">
        <f>IF(B48,0.5,0)</f>
        <v>0.5</v>
      </c>
      <c r="D48" s="29">
        <f>SUM(C48*D7)</f>
        <v>39.25</v>
      </c>
    </row>
    <row r="49" spans="1:4" x14ac:dyDescent="0.35">
      <c r="A49" t="s">
        <v>18</v>
      </c>
      <c r="B49" s="10" t="b">
        <v>0</v>
      </c>
      <c r="C49" s="44">
        <f>IF(B49,0.25,0)</f>
        <v>0</v>
      </c>
      <c r="D49" s="29">
        <f>SUM(C49*D7)</f>
        <v>0</v>
      </c>
    </row>
    <row r="50" spans="1:4" x14ac:dyDescent="0.35">
      <c r="A50" t="s">
        <v>19</v>
      </c>
      <c r="B50" s="10" t="b">
        <v>0</v>
      </c>
      <c r="C50" s="44">
        <f>IF(B50,0.25,0)</f>
        <v>0</v>
      </c>
      <c r="D50" s="29">
        <f>SUM(C50*D7)</f>
        <v>0</v>
      </c>
    </row>
    <row r="51" spans="1:4" ht="10.5" customHeight="1" x14ac:dyDescent="0.35">
      <c r="B51" s="1"/>
      <c r="C51" s="12"/>
    </row>
    <row r="52" spans="1:4" ht="13.15" x14ac:dyDescent="0.4">
      <c r="A52" s="33" t="s">
        <v>32</v>
      </c>
      <c r="B52" s="1"/>
    </row>
    <row r="53" spans="1:4" ht="13.15" x14ac:dyDescent="0.4">
      <c r="A53" s="13" t="s">
        <v>33</v>
      </c>
      <c r="B53" s="14"/>
      <c r="C53" s="15"/>
      <c r="D53" s="30">
        <f>SUM(D12:D50)</f>
        <v>354</v>
      </c>
    </row>
    <row r="54" spans="1:4" ht="13.15" x14ac:dyDescent="0.4">
      <c r="A54" s="22" t="s">
        <v>34</v>
      </c>
      <c r="B54" s="23"/>
      <c r="C54" s="24"/>
      <c r="D54" s="25">
        <f>SUM(D53/8)</f>
        <v>44.25</v>
      </c>
    </row>
    <row r="55" spans="1:4" ht="13.15" x14ac:dyDescent="0.4">
      <c r="A55" s="16" t="s">
        <v>31</v>
      </c>
      <c r="D55" s="17">
        <f>SUM(D54/5)</f>
        <v>8.85</v>
      </c>
    </row>
  </sheetData>
  <phoneticPr fontId="9" type="noConversion"/>
  <dataValidations count="3">
    <dataValidation type="whole" allowBlank="1" showInputMessage="1" showErrorMessage="1" error="Round up to the nearest whole number" prompt="Enter total number of reviewers here" sqref="B47" xr:uid="{00000000-0002-0000-0000-000000000000}">
      <formula1>0</formula1>
      <formula2>1000</formula2>
    </dataValidation>
    <dataValidation allowBlank="1" showInputMessage="1" showErrorMessage="1" prompt="Enter total # of topics here" sqref="B6:B8" xr:uid="{00000000-0002-0000-0000-000001000000}"/>
    <dataValidation allowBlank="1" showInputMessage="1" showErrorMessage="1" prompt="Enter total # of pages here" sqref="B5" xr:uid="{00000000-0002-0000-0000-000002000000}"/>
  </dataValidations>
  <pageMargins left="1" right="1" top="0.75" bottom="0.75" header="0.25" footer="0.25"/>
  <pageSetup orientation="portrait" r:id="rId1"/>
  <headerFooter alignWithMargins="0">
    <oddHeader>&amp;A</oddHeader>
    <oddFooter>&amp;L&amp;BResearch In Motion Confidential&amp;B&amp;C&amp;D&amp;RPage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1</xdr:col>
                    <xdr:colOff>38100</xdr:colOff>
                    <xdr:row>10</xdr:row>
                    <xdr:rowOff>133350</xdr:rowOff>
                  </from>
                  <to>
                    <xdr:col>1</xdr:col>
                    <xdr:colOff>342900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1</xdr:col>
                    <xdr:colOff>38100</xdr:colOff>
                    <xdr:row>11</xdr:row>
                    <xdr:rowOff>142875</xdr:rowOff>
                  </from>
                  <to>
                    <xdr:col>1</xdr:col>
                    <xdr:colOff>342900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1</xdr:col>
                    <xdr:colOff>38100</xdr:colOff>
                    <xdr:row>12</xdr:row>
                    <xdr:rowOff>142875</xdr:rowOff>
                  </from>
                  <to>
                    <xdr:col>1</xdr:col>
                    <xdr:colOff>342900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1</xdr:col>
                    <xdr:colOff>38100</xdr:colOff>
                    <xdr:row>13</xdr:row>
                    <xdr:rowOff>133350</xdr:rowOff>
                  </from>
                  <to>
                    <xdr:col>1</xdr:col>
                    <xdr:colOff>342900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1</xdr:col>
                    <xdr:colOff>38100</xdr:colOff>
                    <xdr:row>16</xdr:row>
                    <xdr:rowOff>171450</xdr:rowOff>
                  </from>
                  <to>
                    <xdr:col>1</xdr:col>
                    <xdr:colOff>342900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1</xdr:col>
                    <xdr:colOff>38100</xdr:colOff>
                    <xdr:row>17</xdr:row>
                    <xdr:rowOff>142875</xdr:rowOff>
                  </from>
                  <to>
                    <xdr:col>1</xdr:col>
                    <xdr:colOff>342900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1</xdr:col>
                    <xdr:colOff>38100</xdr:colOff>
                    <xdr:row>18</xdr:row>
                    <xdr:rowOff>142875</xdr:rowOff>
                  </from>
                  <to>
                    <xdr:col>1</xdr:col>
                    <xdr:colOff>342900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1</xdr:col>
                    <xdr:colOff>28575</xdr:colOff>
                    <xdr:row>21</xdr:row>
                    <xdr:rowOff>133350</xdr:rowOff>
                  </from>
                  <to>
                    <xdr:col>1</xdr:col>
                    <xdr:colOff>333375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1</xdr:col>
                    <xdr:colOff>28575</xdr:colOff>
                    <xdr:row>22</xdr:row>
                    <xdr:rowOff>133350</xdr:rowOff>
                  </from>
                  <to>
                    <xdr:col>1</xdr:col>
                    <xdr:colOff>333375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1</xdr:col>
                    <xdr:colOff>28575</xdr:colOff>
                    <xdr:row>23</xdr:row>
                    <xdr:rowOff>133350</xdr:rowOff>
                  </from>
                  <to>
                    <xdr:col>1</xdr:col>
                    <xdr:colOff>333375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1</xdr:col>
                    <xdr:colOff>28575</xdr:colOff>
                    <xdr:row>24</xdr:row>
                    <xdr:rowOff>133350</xdr:rowOff>
                  </from>
                  <to>
                    <xdr:col>1</xdr:col>
                    <xdr:colOff>333375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1</xdr:col>
                    <xdr:colOff>28575</xdr:colOff>
                    <xdr:row>28</xdr:row>
                    <xdr:rowOff>152400</xdr:rowOff>
                  </from>
                  <to>
                    <xdr:col>1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1</xdr:col>
                    <xdr:colOff>28575</xdr:colOff>
                    <xdr:row>29</xdr:row>
                    <xdr:rowOff>171450</xdr:rowOff>
                  </from>
                  <to>
                    <xdr:col>1</xdr:col>
                    <xdr:colOff>333375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1</xdr:col>
                    <xdr:colOff>28575</xdr:colOff>
                    <xdr:row>30</xdr:row>
                    <xdr:rowOff>171450</xdr:rowOff>
                  </from>
                  <to>
                    <xdr:col>1</xdr:col>
                    <xdr:colOff>333375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1</xdr:col>
                    <xdr:colOff>38100</xdr:colOff>
                    <xdr:row>39</xdr:row>
                    <xdr:rowOff>123825</xdr:rowOff>
                  </from>
                  <to>
                    <xdr:col>1</xdr:col>
                    <xdr:colOff>342900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1</xdr:col>
                    <xdr:colOff>38100</xdr:colOff>
                    <xdr:row>40</xdr:row>
                    <xdr:rowOff>123825</xdr:rowOff>
                  </from>
                  <to>
                    <xdr:col>1</xdr:col>
                    <xdr:colOff>342900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1</xdr:col>
                    <xdr:colOff>38100</xdr:colOff>
                    <xdr:row>41</xdr:row>
                    <xdr:rowOff>133350</xdr:rowOff>
                  </from>
                  <to>
                    <xdr:col>1</xdr:col>
                    <xdr:colOff>342900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1</xdr:col>
                    <xdr:colOff>38100</xdr:colOff>
                    <xdr:row>42</xdr:row>
                    <xdr:rowOff>133350</xdr:rowOff>
                  </from>
                  <to>
                    <xdr:col>1</xdr:col>
                    <xdr:colOff>342900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46</xdr:row>
                    <xdr:rowOff>133350</xdr:rowOff>
                  </from>
                  <to>
                    <xdr:col>1</xdr:col>
                    <xdr:colOff>352425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47</xdr:row>
                    <xdr:rowOff>133350</xdr:rowOff>
                  </from>
                  <to>
                    <xdr:col>1</xdr:col>
                    <xdr:colOff>352425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48</xdr:row>
                    <xdr:rowOff>133350</xdr:rowOff>
                  </from>
                  <to>
                    <xdr:col>1</xdr:col>
                    <xdr:colOff>352425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1</xdr:col>
                    <xdr:colOff>28575</xdr:colOff>
                    <xdr:row>27</xdr:row>
                    <xdr:rowOff>104775</xdr:rowOff>
                  </from>
                  <to>
                    <xdr:col>1</xdr:col>
                    <xdr:colOff>333375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1</xdr:col>
                    <xdr:colOff>28575</xdr:colOff>
                    <xdr:row>33</xdr:row>
                    <xdr:rowOff>123825</xdr:rowOff>
                  </from>
                  <to>
                    <xdr:col>1</xdr:col>
                    <xdr:colOff>333375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1</xdr:col>
                    <xdr:colOff>28575</xdr:colOff>
                    <xdr:row>34</xdr:row>
                    <xdr:rowOff>133350</xdr:rowOff>
                  </from>
                  <to>
                    <xdr:col>1</xdr:col>
                    <xdr:colOff>333375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1</xdr:col>
                    <xdr:colOff>28575</xdr:colOff>
                    <xdr:row>35</xdr:row>
                    <xdr:rowOff>123825</xdr:rowOff>
                  </from>
                  <to>
                    <xdr:col>1</xdr:col>
                    <xdr:colOff>333375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>
                  <from>
                    <xdr:col>1</xdr:col>
                    <xdr:colOff>28575</xdr:colOff>
                    <xdr:row>36</xdr:row>
                    <xdr:rowOff>133350</xdr:rowOff>
                  </from>
                  <to>
                    <xdr:col>1</xdr:col>
                    <xdr:colOff>333375</xdr:colOff>
                    <xdr:row>38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Project</vt:lpstr>
      <vt:lpstr>'New Project'!Print_Area</vt:lpstr>
    </vt:vector>
  </TitlesOfParts>
  <Company>Research In Motion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Margie Yundt</dc:creator>
  <cp:lastModifiedBy>Stephen Arrants</cp:lastModifiedBy>
  <cp:lastPrinted>2005-01-27T16:36:46Z</cp:lastPrinted>
  <dcterms:created xsi:type="dcterms:W3CDTF">2004-11-19T21:18:53Z</dcterms:created>
  <dcterms:modified xsi:type="dcterms:W3CDTF">2021-11-16T10:36:32Z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54935878</vt:i4>
  </property>
  <property fmtid="{D5CDD505-2E9C-101B-9397-08002B2CF9AE}" pid="3" name="_NewReviewCycle">
    <vt:lpwstr/>
  </property>
  <property fmtid="{D5CDD505-2E9C-101B-9397-08002B2CF9AE}" pid="4" name="_EmailSubject">
    <vt:lpwstr>Article and sample Planning Tool</vt:lpwstr>
  </property>
  <property fmtid="{D5CDD505-2E9C-101B-9397-08002B2CF9AE}" pid="5" name="_AuthorEmail">
    <vt:lpwstr>smcmenemy@rim.com</vt:lpwstr>
  </property>
  <property fmtid="{D5CDD505-2E9C-101B-9397-08002B2CF9AE}" pid="6" name="_AuthorEmailDisplayName">
    <vt:lpwstr>Sherry McMenemy</vt:lpwstr>
  </property>
  <property fmtid="{D5CDD505-2E9C-101B-9397-08002B2CF9AE}" pid="7" name="_ReviewingToolsShownOnce">
    <vt:lpwstr/>
  </property>
</Properties>
</file>
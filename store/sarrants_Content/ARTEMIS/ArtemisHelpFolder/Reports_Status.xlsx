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ArtemisHelpFolder\"/>
    </mc:Choice>
  </mc:AlternateContent>
  <bookViews>
    <workbookView xWindow="0" yWindow="0" windowWidth="19200" windowHeight="121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" l="1"/>
  <c r="F28" i="1"/>
  <c r="F29" i="1"/>
  <c r="F30" i="1"/>
  <c r="C7" i="1"/>
  <c r="C2" i="1"/>
  <c r="C13" i="1"/>
  <c r="D21" i="1"/>
  <c r="D13" i="1"/>
  <c r="D7" i="1"/>
  <c r="D2" i="1"/>
  <c r="C21" i="1"/>
  <c r="F31" i="1" l="1"/>
</calcChain>
</file>

<file path=xl/sharedStrings.xml><?xml version="1.0" encoding="utf-8"?>
<sst xmlns="http://schemas.openxmlformats.org/spreadsheetml/2006/main" count="30" uniqueCount="23">
  <si>
    <t>Generic Reports</t>
  </si>
  <si>
    <t>AlterationReport</t>
  </si>
  <si>
    <t>Closing Memo</t>
  </si>
  <si>
    <t>Turn Around Time (Milestones)</t>
  </si>
  <si>
    <t>Work In Progress</t>
  </si>
  <si>
    <t>Scientific Societies Reporting</t>
  </si>
  <si>
    <t>Pending Release</t>
  </si>
  <si>
    <t>Ready To Compile</t>
  </si>
  <si>
    <t>Ready to Publish</t>
  </si>
  <si>
    <t>Work In Progress Lite</t>
  </si>
  <si>
    <t>Billing Reports</t>
  </si>
  <si>
    <t>Billing for Tooling</t>
  </si>
  <si>
    <t>MS &amp; Tooled Pages Report</t>
  </si>
  <si>
    <t>Releases Report</t>
  </si>
  <si>
    <t>Invoice Cycle Report</t>
  </si>
  <si>
    <t>Invoice Cycle Report 60 Days</t>
  </si>
  <si>
    <t>Issue Billing</t>
  </si>
  <si>
    <t>Unassigned Billing Report</t>
  </si>
  <si>
    <t>Management Reports</t>
  </si>
  <si>
    <t>Group</t>
  </si>
  <si>
    <t>Name</t>
  </si>
  <si>
    <t>Written</t>
  </si>
  <si>
    <t>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</si>
</sst>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10" fontId="0" fillId="0" borderId="0" xfId="0" applyNumberFormat="1"/>
    <xf numFmtId="0" fontId="1" fillId="0" borderId="1" xfId="1"/>
    <xf numFmtId="10" fontId="1" fillId="0" borderId="1" xfId="1" applyNumberFormat="1"/>
    <xf numFmtId="0" fontId="2" fillId="0" borderId="2" xfId="2"/>
    <xf numFmtId="0" fontId="2" fillId="0" borderId="2" xfId="2" applyAlignment="1">
      <alignment vertical="center"/>
    </xf>
    <xf numFmtId="0" fontId="3" fillId="0" borderId="3" xfId="3"/>
    <xf numFmtId="0" fontId="3" fillId="0" borderId="3" xfId="3" applyAlignment="1">
      <alignment vertical="center"/>
    </xf>
    <xf numFmtId="0" fontId="3" fillId="4" borderId="3" xfId="3" applyFill="1" applyAlignment="1">
      <alignment vertical="center"/>
    </xf>
    <xf numFmtId="0" fontId="3" fillId="3" borderId="3" xfId="3" applyFill="1" applyAlignment="1">
      <alignment vertical="center"/>
    </xf>
    <xf numFmtId="10" fontId="3" fillId="0" borderId="0" xfId="4" applyNumberFormat="1" applyFill="1"/>
    <xf numFmtId="0" fontId="2" fillId="0" borderId="0" xfId="2" applyBorder="1"/>
    <xf numFmtId="0" fontId="2" fillId="0" borderId="0" xfId="2" applyBorder="1" applyAlignment="1">
      <alignment vertical="center"/>
    </xf>
    <xf numFmtId="0" fontId="3" fillId="2" borderId="3" xfId="3" applyFill="1" applyAlignment="1">
      <alignment vertical="center"/>
    </xf>
  </cellXfs>
  <cellStyles count="5">
    <cellStyle name="Heading 1" xfId="1" builtinId="16"/>
    <cellStyle name="Heading 2" xfId="2" builtinId="17"/>
    <cellStyle name="Heading 3" xfId="3" builtinId="18"/>
    <cellStyle name="Heading 4" xfId="4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pane ySplit="1" topLeftCell="A2" activePane="bottomLeft" state="frozen"/>
      <selection pane="bottomLeft" activeCell="B22" sqref="B22"/>
    </sheetView>
  </sheetViews>
  <sheetFormatPr defaultRowHeight="15" x14ac:dyDescent="0.25"/>
  <cols>
    <col min="1" max="1" width="22.7109375" customWidth="1"/>
    <col min="2" max="2" width="30.28515625" customWidth="1"/>
    <col min="3" max="3" width="11.85546875" style="1" customWidth="1"/>
    <col min="4" max="4" width="12.7109375" customWidth="1"/>
    <col min="6" max="6" width="13.42578125" customWidth="1"/>
  </cols>
  <sheetData>
    <row r="1" spans="1:7" s="2" customFormat="1" ht="20.25" thickBot="1" x14ac:dyDescent="0.35">
      <c r="A1" s="2" t="s">
        <v>19</v>
      </c>
      <c r="B1" s="2" t="s">
        <v>20</v>
      </c>
      <c r="C1" s="3" t="s">
        <v>21</v>
      </c>
      <c r="D1" s="2" t="s">
        <v>22</v>
      </c>
    </row>
    <row r="2" spans="1:7" ht="18.75" thickTop="1" thickBot="1" x14ac:dyDescent="0.35">
      <c r="A2" s="4" t="s">
        <v>0</v>
      </c>
      <c r="B2" s="6"/>
      <c r="C2" s="10">
        <f>AVERAGE(C3:C6)</f>
        <v>1</v>
      </c>
      <c r="D2" s="10">
        <f>AVERAGE(D3:D6)</f>
        <v>0</v>
      </c>
    </row>
    <row r="3" spans="1:7" ht="18.75" thickTop="1" thickBot="1" x14ac:dyDescent="0.35">
      <c r="A3" s="4"/>
      <c r="B3" s="7" t="s">
        <v>1</v>
      </c>
      <c r="C3" s="10">
        <v>1</v>
      </c>
      <c r="D3" s="10">
        <v>0</v>
      </c>
    </row>
    <row r="4" spans="1:7" ht="18.75" thickTop="1" thickBot="1" x14ac:dyDescent="0.35">
      <c r="A4" s="4"/>
      <c r="B4" s="7" t="s">
        <v>2</v>
      </c>
      <c r="C4" s="10">
        <v>1</v>
      </c>
      <c r="D4" s="10">
        <v>0</v>
      </c>
    </row>
    <row r="5" spans="1:7" ht="18.75" thickTop="1" thickBot="1" x14ac:dyDescent="0.35">
      <c r="A5" s="4"/>
      <c r="B5" s="7" t="s">
        <v>3</v>
      </c>
      <c r="C5" s="10">
        <v>1</v>
      </c>
      <c r="D5" s="10">
        <v>0</v>
      </c>
    </row>
    <row r="6" spans="1:7" ht="18.75" thickTop="1" thickBot="1" x14ac:dyDescent="0.35">
      <c r="A6" s="4"/>
      <c r="B6" s="8" t="s">
        <v>4</v>
      </c>
      <c r="C6" s="10">
        <v>1</v>
      </c>
      <c r="D6" s="10">
        <v>0</v>
      </c>
    </row>
    <row r="7" spans="1:7" ht="18.75" thickTop="1" thickBot="1" x14ac:dyDescent="0.3">
      <c r="A7" s="5" t="s">
        <v>5</v>
      </c>
      <c r="B7" s="6"/>
      <c r="C7" s="10">
        <f>AVERAGE(C8:C12)</f>
        <v>0</v>
      </c>
      <c r="D7" s="10">
        <f>AVERAGE(D8:D12)</f>
        <v>0</v>
      </c>
    </row>
    <row r="8" spans="1:7" ht="18.75" thickTop="1" thickBot="1" x14ac:dyDescent="0.35">
      <c r="A8" s="4"/>
      <c r="B8" s="7" t="s">
        <v>6</v>
      </c>
      <c r="C8" s="10">
        <v>0</v>
      </c>
      <c r="D8" s="10">
        <v>0</v>
      </c>
    </row>
    <row r="9" spans="1:7" ht="18.75" thickTop="1" thickBot="1" x14ac:dyDescent="0.35">
      <c r="A9" s="4"/>
      <c r="B9" s="7" t="s">
        <v>7</v>
      </c>
      <c r="C9" s="10">
        <v>0</v>
      </c>
      <c r="D9" s="10">
        <v>0</v>
      </c>
      <c r="G9" s="10"/>
    </row>
    <row r="10" spans="1:7" ht="18.75" thickTop="1" thickBot="1" x14ac:dyDescent="0.35">
      <c r="A10" s="4"/>
      <c r="B10" s="7" t="s">
        <v>8</v>
      </c>
      <c r="C10" s="10">
        <v>0</v>
      </c>
      <c r="D10" s="10">
        <v>0</v>
      </c>
    </row>
    <row r="11" spans="1:7" ht="18.75" thickTop="1" thickBot="1" x14ac:dyDescent="0.35">
      <c r="A11" s="4"/>
      <c r="B11" s="8" t="s">
        <v>4</v>
      </c>
      <c r="C11" s="10">
        <v>0</v>
      </c>
      <c r="D11" s="10">
        <v>0</v>
      </c>
    </row>
    <row r="12" spans="1:7" ht="18.75" thickTop="1" thickBot="1" x14ac:dyDescent="0.35">
      <c r="A12" s="4"/>
      <c r="B12" s="7" t="s">
        <v>9</v>
      </c>
      <c r="C12" s="10">
        <v>0</v>
      </c>
      <c r="D12" s="10">
        <v>0</v>
      </c>
    </row>
    <row r="13" spans="1:7" ht="18.75" thickTop="1" thickBot="1" x14ac:dyDescent="0.3">
      <c r="A13" s="5" t="s">
        <v>10</v>
      </c>
      <c r="B13" s="6"/>
      <c r="C13" s="10">
        <f>AVERAGE(C14:C20)</f>
        <v>0.2857142857142857</v>
      </c>
      <c r="D13" s="10">
        <f>AVERAGE(D14:D20)</f>
        <v>0</v>
      </c>
    </row>
    <row r="14" spans="1:7" ht="18.75" thickTop="1" thickBot="1" x14ac:dyDescent="0.35">
      <c r="A14" s="4"/>
      <c r="B14" s="7" t="s">
        <v>11</v>
      </c>
      <c r="C14" s="10">
        <v>1</v>
      </c>
      <c r="D14" s="10">
        <v>0</v>
      </c>
    </row>
    <row r="15" spans="1:7" ht="18.75" thickTop="1" thickBot="1" x14ac:dyDescent="0.35">
      <c r="A15" s="4"/>
      <c r="B15" s="13" t="s">
        <v>12</v>
      </c>
      <c r="C15" s="10">
        <v>0</v>
      </c>
      <c r="D15" s="10">
        <v>0</v>
      </c>
    </row>
    <row r="16" spans="1:7" ht="18.75" thickTop="1" thickBot="1" x14ac:dyDescent="0.35">
      <c r="A16" s="4"/>
      <c r="B16" s="9" t="s">
        <v>13</v>
      </c>
      <c r="C16" s="10">
        <v>0</v>
      </c>
      <c r="D16" s="10">
        <v>0</v>
      </c>
    </row>
    <row r="17" spans="1:6" ht="18.75" thickTop="1" thickBot="1" x14ac:dyDescent="0.35">
      <c r="A17" s="4"/>
      <c r="B17" s="7" t="s">
        <v>14</v>
      </c>
      <c r="C17" s="10">
        <v>0</v>
      </c>
      <c r="D17" s="10">
        <v>0</v>
      </c>
    </row>
    <row r="18" spans="1:6" ht="18.75" thickTop="1" thickBot="1" x14ac:dyDescent="0.35">
      <c r="A18" s="4"/>
      <c r="B18" s="7" t="s">
        <v>15</v>
      </c>
      <c r="C18" s="10">
        <v>0</v>
      </c>
      <c r="D18" s="10">
        <v>0</v>
      </c>
    </row>
    <row r="19" spans="1:6" ht="18.75" thickTop="1" thickBot="1" x14ac:dyDescent="0.35">
      <c r="A19" s="4"/>
      <c r="B19" s="7" t="s">
        <v>16</v>
      </c>
      <c r="C19" s="10">
        <v>1</v>
      </c>
      <c r="D19" s="10">
        <v>0</v>
      </c>
    </row>
    <row r="20" spans="1:6" ht="18.75" thickTop="1" thickBot="1" x14ac:dyDescent="0.35">
      <c r="A20" s="4"/>
      <c r="B20" s="7" t="s">
        <v>17</v>
      </c>
      <c r="C20" s="10">
        <v>0</v>
      </c>
      <c r="D20" s="10">
        <v>0</v>
      </c>
    </row>
    <row r="21" spans="1:6" ht="18.75" thickTop="1" thickBot="1" x14ac:dyDescent="0.3">
      <c r="A21" s="5" t="s">
        <v>18</v>
      </c>
      <c r="B21" s="6"/>
      <c r="C21" s="10">
        <f>AVERAGE(C22:C23)</f>
        <v>0</v>
      </c>
      <c r="D21" s="10">
        <f>AVERAGE(D22:D23)</f>
        <v>0</v>
      </c>
    </row>
    <row r="22" spans="1:6" ht="18.75" thickTop="1" thickBot="1" x14ac:dyDescent="0.35">
      <c r="A22" s="4"/>
      <c r="B22" s="13" t="s">
        <v>12</v>
      </c>
      <c r="C22" s="10">
        <v>0</v>
      </c>
      <c r="D22" s="10">
        <v>0</v>
      </c>
    </row>
    <row r="23" spans="1:6" ht="18.75" thickTop="1" thickBot="1" x14ac:dyDescent="0.35">
      <c r="A23" s="4"/>
      <c r="B23" s="9" t="s">
        <v>13</v>
      </c>
      <c r="C23" s="10">
        <v>0</v>
      </c>
      <c r="D23" s="10">
        <v>0</v>
      </c>
    </row>
    <row r="24" spans="1:6" ht="15.75" thickTop="1" x14ac:dyDescent="0.25"/>
    <row r="27" spans="1:6" ht="17.25" x14ac:dyDescent="0.3">
      <c r="C27" s="11" t="s">
        <v>0</v>
      </c>
      <c r="F27" s="10">
        <f>C2</f>
        <v>1</v>
      </c>
    </row>
    <row r="28" spans="1:6" ht="17.25" x14ac:dyDescent="0.25">
      <c r="C28" s="12" t="s">
        <v>5</v>
      </c>
      <c r="F28" s="10">
        <f>C7</f>
        <v>0</v>
      </c>
    </row>
    <row r="29" spans="1:6" ht="17.25" x14ac:dyDescent="0.25">
      <c r="C29" s="12" t="s">
        <v>10</v>
      </c>
      <c r="F29" s="10">
        <f>C13</f>
        <v>0.2857142857142857</v>
      </c>
    </row>
    <row r="30" spans="1:6" ht="17.25" x14ac:dyDescent="0.25">
      <c r="C30" s="12" t="s">
        <v>18</v>
      </c>
      <c r="F30" s="10">
        <f>C21</f>
        <v>0</v>
      </c>
    </row>
    <row r="31" spans="1:6" x14ac:dyDescent="0.25">
      <c r="F31" s="1">
        <f>AVERAGE(F27:F30)</f>
        <v>0.3214285714285714</v>
      </c>
    </row>
  </sheetData>
  <conditionalFormatting sqref="C13">
    <cfRule type="iconSet" priority="26">
      <iconSet>
        <cfvo type="percent" val="0"/>
        <cfvo type="num" val="33"/>
        <cfvo type="num" val="67"/>
      </iconSet>
    </cfRule>
  </conditionalFormatting>
  <conditionalFormatting sqref="C2">
    <cfRule type="iconSet" priority="25">
      <iconSet>
        <cfvo type="percent" val="0"/>
        <cfvo type="num" val="0.33"/>
        <cfvo type="num" val="0.67"/>
      </iconSet>
    </cfRule>
  </conditionalFormatting>
  <conditionalFormatting sqref="C7">
    <cfRule type="iconSet" priority="24">
      <iconSet>
        <cfvo type="percent" val="0"/>
        <cfvo type="num" val="0.33"/>
        <cfvo type="num" val="0.67"/>
      </iconSet>
    </cfRule>
  </conditionalFormatting>
  <conditionalFormatting sqref="C21">
    <cfRule type="iconSet" priority="23">
      <iconSet>
        <cfvo type="percent" val="0"/>
        <cfvo type="num" val="0.33"/>
        <cfvo type="num" val="0.67"/>
      </iconSet>
    </cfRule>
  </conditionalFormatting>
  <conditionalFormatting sqref="C22">
    <cfRule type="colorScale" priority="21">
      <colorScale>
        <cfvo type="num" val="0"/>
        <cfvo type="num" val="0.67"/>
        <cfvo type="max"/>
        <color rgb="FFF8696B"/>
        <color rgb="FFFFEB84"/>
        <color rgb="FF63BE7B"/>
      </colorScale>
    </cfRule>
  </conditionalFormatting>
  <conditionalFormatting sqref="C23">
    <cfRule type="colorScale" priority="20">
      <colorScale>
        <cfvo type="num" val="0"/>
        <cfvo type="num" val="0.67"/>
        <cfvo type="max"/>
        <color rgb="FFF8696B"/>
        <color rgb="FFFFEB84"/>
        <color rgb="FF63BE7B"/>
      </colorScale>
    </cfRule>
  </conditionalFormatting>
  <conditionalFormatting sqref="C14:C20">
    <cfRule type="colorScale" priority="19">
      <colorScale>
        <cfvo type="num" val="0"/>
        <cfvo type="num" val="0.67"/>
        <cfvo type="max"/>
        <color rgb="FFF8696B"/>
        <color rgb="FFFFEB84"/>
        <color rgb="FF63BE7B"/>
      </colorScale>
    </cfRule>
  </conditionalFormatting>
  <conditionalFormatting sqref="C3:C6">
    <cfRule type="colorScale" priority="16">
      <colorScale>
        <cfvo type="num" val="0"/>
        <cfvo type="num" val="0.67"/>
        <cfvo type="max"/>
        <color rgb="FFF8696B"/>
        <color rgb="FFFFEB84"/>
        <color rgb="FF63BE7B"/>
      </colorScale>
    </cfRule>
  </conditionalFormatting>
  <conditionalFormatting sqref="C8:C12">
    <cfRule type="colorScale" priority="15">
      <colorScale>
        <cfvo type="num" val="0"/>
        <cfvo type="num" val="0.67"/>
        <cfvo type="max"/>
        <color rgb="FFF8696B"/>
        <color rgb="FFFFEB84"/>
        <color rgb="FF63BE7B"/>
      </colorScale>
    </cfRule>
  </conditionalFormatting>
  <conditionalFormatting sqref="F27">
    <cfRule type="iconSet" priority="14">
      <iconSet>
        <cfvo type="percent" val="0"/>
        <cfvo type="num" val="0.33"/>
        <cfvo type="num" val="0.67"/>
      </iconSet>
    </cfRule>
  </conditionalFormatting>
  <conditionalFormatting sqref="F28">
    <cfRule type="iconSet" priority="13">
      <iconSet>
        <cfvo type="percent" val="0"/>
        <cfvo type="num" val="0.33"/>
        <cfvo type="num" val="0.67"/>
      </iconSet>
    </cfRule>
  </conditionalFormatting>
  <conditionalFormatting sqref="F29">
    <cfRule type="iconSet" priority="12">
      <iconSet>
        <cfvo type="percent" val="0"/>
        <cfvo type="num" val="33"/>
        <cfvo type="num" val="67"/>
      </iconSet>
    </cfRule>
  </conditionalFormatting>
  <conditionalFormatting sqref="D2">
    <cfRule type="iconSet" priority="10">
      <iconSet>
        <cfvo type="percent" val="0"/>
        <cfvo type="num" val="0.33"/>
        <cfvo type="num" val="0.67"/>
      </iconSet>
    </cfRule>
  </conditionalFormatting>
  <conditionalFormatting sqref="D7">
    <cfRule type="iconSet" priority="9">
      <iconSet>
        <cfvo type="percent" val="0"/>
        <cfvo type="num" val="0.33"/>
        <cfvo type="num" val="0.67"/>
      </iconSet>
    </cfRule>
  </conditionalFormatting>
  <conditionalFormatting sqref="D13">
    <cfRule type="iconSet" priority="8">
      <iconSet>
        <cfvo type="percent" val="0"/>
        <cfvo type="num" val="0.33"/>
        <cfvo type="num" val="0.67"/>
      </iconSet>
    </cfRule>
  </conditionalFormatting>
  <conditionalFormatting sqref="D21">
    <cfRule type="iconSet" priority="7">
      <iconSet>
        <cfvo type="percent" val="0"/>
        <cfvo type="num" val="0.33"/>
        <cfvo type="num" val="0.67"/>
      </iconSet>
    </cfRule>
  </conditionalFormatting>
  <conditionalFormatting sqref="F30">
    <cfRule type="iconSet" priority="6">
      <iconSet>
        <cfvo type="percent" val="0"/>
        <cfvo type="num" val="0.33"/>
        <cfvo type="num" val="0.67"/>
      </iconSet>
    </cfRule>
  </conditionalFormatting>
  <conditionalFormatting sqref="D3:D6">
    <cfRule type="colorScale" priority="5">
      <colorScale>
        <cfvo type="num" val="0"/>
        <cfvo type="num" val="0.67"/>
        <cfvo type="max"/>
        <color rgb="FFF8696B"/>
        <color rgb="FFFFEB84"/>
        <color rgb="FF63BE7B"/>
      </colorScale>
    </cfRule>
  </conditionalFormatting>
  <conditionalFormatting sqref="D8:D12">
    <cfRule type="colorScale" priority="4">
      <colorScale>
        <cfvo type="num" val="0"/>
        <cfvo type="num" val="0.67"/>
        <cfvo type="max"/>
        <color rgb="FFF8696B"/>
        <color rgb="FFFFEB84"/>
        <color rgb="FF63BE7B"/>
      </colorScale>
    </cfRule>
  </conditionalFormatting>
  <conditionalFormatting sqref="D14:D20">
    <cfRule type="colorScale" priority="3">
      <colorScale>
        <cfvo type="num" val="0"/>
        <cfvo type="num" val="0.67"/>
        <cfvo type="max"/>
        <color rgb="FFF8696B"/>
        <color rgb="FFFFEB84"/>
        <color rgb="FF63BE7B"/>
      </colorScale>
    </cfRule>
  </conditionalFormatting>
  <conditionalFormatting sqref="D22:D23">
    <cfRule type="colorScale" priority="2">
      <colorScale>
        <cfvo type="num" val="0"/>
        <cfvo type="num" val="0.67"/>
        <cfvo type="max"/>
        <color rgb="FFF8696B"/>
        <color rgb="FFFFEB84"/>
        <color rgb="FF63BE7B"/>
      </colorScale>
    </cfRule>
  </conditionalFormatting>
  <conditionalFormatting sqref="G9">
    <cfRule type="colorScale" priority="1">
      <colorScale>
        <cfvo type="num" val="0"/>
        <cfvo type="num" val="0.67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DJS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Arrants</dc:creator>
  <cp:lastModifiedBy>Steve Arrants</cp:lastModifiedBy>
  <dcterms:created xsi:type="dcterms:W3CDTF">2015-05-21T13:35:04Z</dcterms:created>
  <dcterms:modified xsi:type="dcterms:W3CDTF">2015-05-21T15:19:26Z</dcterms:modified>
</cp:coreProperties>
</file>